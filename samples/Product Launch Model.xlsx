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2453df3e28d0d9/04 - Projects/MonteCarlo.XL/samples/"/>
    </mc:Choice>
  </mc:AlternateContent>
  <xr:revisionPtr revIDLastSave="1" documentId="8_{6CE13CD2-F145-4686-82EE-1CECA8270112}" xr6:coauthVersionLast="47" xr6:coauthVersionMax="47" xr10:uidLastSave="{45CBCABE-A736-4F79-B067-6A85935C5992}"/>
  <bookViews>
    <workbookView xWindow="28680" yWindow="-120" windowWidth="29040" windowHeight="15720" xr2:uid="{DE2A6105-9CAF-4ED7-AB3C-AA8D1A93A4D9}"/>
  </bookViews>
  <sheets>
    <sheet name="Product Launch Model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7" i="1"/>
  <c r="B9" i="1"/>
  <c r="B8" i="1"/>
  <c r="B6" i="1"/>
  <c r="B22" i="1" l="1"/>
  <c r="B20" i="1"/>
  <c r="B23" i="1"/>
  <c r="B25" i="1" s="1"/>
  <c r="B24" i="1"/>
  <c r="B30" i="1" l="1"/>
  <c r="B21" i="1"/>
  <c r="B28" i="1" s="1"/>
  <c r="B29" i="1" s="1"/>
</calcChain>
</file>

<file path=xl/sharedStrings.xml><?xml version="1.0" encoding="utf-8"?>
<sst xmlns="http://schemas.openxmlformats.org/spreadsheetml/2006/main" count="57" uniqueCount="57">
  <si>
    <t>NEW PRODUCT LAUNCH - COST &amp; REVENUE MODEL</t>
  </si>
  <si>
    <t>MonteCarlo.XL Tutorial - Run a simulation to see the distribution of outcomes</t>
  </si>
  <si>
    <t>ASSUMPTIONS (Uncertain Inputs)</t>
  </si>
  <si>
    <t>Variable</t>
  </si>
  <si>
    <t>Value (Expected)</t>
  </si>
  <si>
    <t>Distribution</t>
  </si>
  <si>
    <t>Unit Mfg Cost ($)</t>
  </si>
  <si>
    <t>Triangular(12, 15, 22)</t>
  </si>
  <si>
    <t>Units Sold (Year 1)</t>
  </si>
  <si>
    <t>Lognormal(mu=9.2, sigma=0.4)</t>
  </si>
  <si>
    <t>Selling Price ($)</t>
  </si>
  <si>
    <t>Normal(45, 5)</t>
  </si>
  <si>
    <t>Marketing Spend ($)</t>
  </si>
  <si>
    <t>PERT(50k, 80k, 150k)</t>
  </si>
  <si>
    <t>Defect Rate</t>
  </si>
  <si>
    <t>Beta(2, 50) ~3.8% mean</t>
  </si>
  <si>
    <t>Dev Delay (months)</t>
  </si>
  <si>
    <t>Poisson(lambda=2)</t>
  </si>
  <si>
    <t>Competitor Enters? (0/1)</t>
  </si>
  <si>
    <t>Binomial(1, 0.3) - 30% chance</t>
  </si>
  <si>
    <t>FIXED ASSUMPTIONS</t>
  </si>
  <si>
    <t>Development Cost ($)</t>
  </si>
  <si>
    <t>Delay Penalty ($/month)</t>
  </si>
  <si>
    <t>Competitor Price Impact</t>
  </si>
  <si>
    <t>MODEL CALCULATIONS</t>
  </si>
  <si>
    <t>Effective Price ($)</t>
  </si>
  <si>
    <t>Gross Revenue ($)</t>
  </si>
  <si>
    <t>Cost of Goods Sold ($)</t>
  </si>
  <si>
    <t>Warranty Costs ($)</t>
  </si>
  <si>
    <t>Defects cost 2x manufacturing</t>
  </si>
  <si>
    <t>Delay Penalty ($)</t>
  </si>
  <si>
    <t>Total Costs ($)</t>
  </si>
  <si>
    <t>KEY OUTPUTS (Simulation Targets)</t>
  </si>
  <si>
    <t>Net Profit ($)</t>
  </si>
  <si>
    <t>ROI (%)</t>
  </si>
  <si>
    <t>Break-Even Units</t>
  </si>
  <si>
    <t>HOW TO USE</t>
  </si>
  <si>
    <t>1. Open the MonteCarlo.XL task pane (Ctrl+Shift+T)</t>
  </si>
  <si>
    <t>2. Click 'Add Input' and select each green cell (B6:B12)</t>
  </si>
  <si>
    <t>3. Click 'Add Output' and select each purple cell (B28:B30)</t>
  </si>
  <si>
    <t>4. Click Run Simulation (Ctrl+Shift+R)</t>
  </si>
  <si>
    <t>5. Watch the live histogram build during iteration</t>
  </si>
  <si>
    <t>6. Review results: histogram, CDF, tornado sensitivity</t>
  </si>
  <si>
    <t>7. Enter a target value (e.g. 0 for Net Profit) to see P(loss)</t>
  </si>
  <si>
    <t>8. Toggle PDF/CDF to see the probability density overlay</t>
  </si>
  <si>
    <t>9. Select inputs in the scatter dropdown to explore correlations</t>
  </si>
  <si>
    <t>10. Click Export to create a summary worksheet</t>
  </si>
  <si>
    <t>TIP: Try 10,000 iterations with LHS sampling for smooth</t>
  </si>
  <si>
    <t>results. This model has 7 uncertain inputs and 3 outputs.</t>
  </si>
  <si>
    <t>DISTRIBUTIONS USED:</t>
  </si>
  <si>
    <t xml:space="preserve">  Triangular - vendor cost quotes (min/mode/max)</t>
  </si>
  <si>
    <t xml:space="preserve">  Lognormal  - demand (right-skewed, always positive)</t>
  </si>
  <si>
    <t xml:space="preserve">  Normal     - price (symmetric around market research)</t>
  </si>
  <si>
    <t xml:space="preserve">  PERT       - budget (weighted toward most likely)</t>
  </si>
  <si>
    <t xml:space="preserve">  Beta       - defect rate (bounded 0-1, low mean)</t>
  </si>
  <si>
    <t xml:space="preserve">  Poisson    - schedule delays (discrete events)</t>
  </si>
  <si>
    <t xml:space="preserve">  Binomial   - competitor entry (yes/no event)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</si>
</sst>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9"/>
      <color theme="1"/>
      <name val="Aptos Serif"/>
      <family val="2"/>
    </font>
    <font>
      <b/>
      <sz val="16"/>
      <color theme="1"/>
      <name val="Aptos Serif"/>
      <family val="1"/>
    </font>
    <font>
      <i/>
      <sz val="9"/>
      <color rgb="FF808080"/>
      <name val="Aptos Serif"/>
      <family val="1"/>
    </font>
    <font>
      <b/>
      <sz val="9"/>
      <color theme="1"/>
      <name val="Aptos Serif"/>
      <family val="1"/>
    </font>
    <font>
      <b/>
      <sz val="12"/>
      <color theme="1"/>
      <name val="Aptos Serif"/>
      <family val="1"/>
    </font>
    <font>
      <b/>
      <sz val="13"/>
      <color theme="1"/>
      <name val="Aptos Serif"/>
      <family val="1"/>
    </font>
    <font>
      <sz val="10"/>
      <color theme="1"/>
      <name val="Aptos 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3E2D9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BDA6D5"/>
        <bgColor indexed="64"/>
      </patternFill>
    </fill>
    <fill>
      <patternFill patternType="solid">
        <fgColor rgb="FFDBEA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2" borderId="0" xfId="0" applyFill="1"/>
    <xf numFmtId="0" fontId="3" fillId="3" borderId="0" xfId="0" applyFont="1" applyFill="1"/>
    <xf numFmtId="3" fontId="3" fillId="3" borderId="0" xfId="0" applyNumberFormat="1" applyFont="1" applyFill="1"/>
    <xf numFmtId="10" fontId="3" fillId="3" borderId="0" xfId="0" applyNumberFormat="1" applyFont="1" applyFill="1"/>
    <xf numFmtId="0" fontId="4" fillId="4" borderId="0" xfId="0" applyFont="1" applyFill="1"/>
    <xf numFmtId="0" fontId="0" fillId="4" borderId="0" xfId="0" applyFill="1"/>
    <xf numFmtId="3" fontId="0" fillId="0" borderId="0" xfId="0" applyNumberFormat="1"/>
    <xf numFmtId="9" fontId="0" fillId="0" borderId="0" xfId="0" applyNumberFormat="1"/>
    <xf numFmtId="0" fontId="4" fillId="5" borderId="0" xfId="0" applyFont="1" applyFill="1"/>
    <xf numFmtId="0" fontId="0" fillId="5" borderId="0" xfId="0" applyFill="1"/>
    <xf numFmtId="4" fontId="0" fillId="0" borderId="0" xfId="0" applyNumberFormat="1"/>
    <xf numFmtId="0" fontId="4" fillId="6" borderId="0" xfId="0" applyFont="1" applyFill="1"/>
    <xf numFmtId="0" fontId="0" fillId="6" borderId="0" xfId="0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F8FA-16C5-42DC-B1A8-142F6D1FEB4F}">
  <dimension ref="A1:F30"/>
  <sheetViews>
    <sheetView tabSelected="1" workbookViewId="0">
      <selection activeCell="B12" sqref="B12"/>
    </sheetView>
  </sheetViews>
  <sheetFormatPr defaultRowHeight="12" x14ac:dyDescent="0.2"/>
  <cols>
    <col min="1" max="1" width="28.7109375" customWidth="1"/>
    <col min="2" max="2" width="18.7109375" customWidth="1"/>
    <col min="3" max="3" width="32.7109375" customWidth="1"/>
    <col min="4" max="4" width="3.7109375" customWidth="1"/>
    <col min="5" max="5" width="58.7109375" customWidth="1"/>
  </cols>
  <sheetData>
    <row r="1" spans="1:6" ht="21" x14ac:dyDescent="0.35">
      <c r="A1" s="21" t="s">
        <v>0</v>
      </c>
      <c r="B1" s="21"/>
      <c r="C1" s="21"/>
      <c r="D1" s="21"/>
      <c r="E1" s="21"/>
      <c r="F1" s="21"/>
    </row>
    <row r="2" spans="1:6" x14ac:dyDescent="0.2">
      <c r="A2" s="22" t="s">
        <v>1</v>
      </c>
      <c r="B2" s="22"/>
      <c r="C2" s="22"/>
      <c r="D2" s="22"/>
      <c r="E2" s="22"/>
      <c r="F2" s="22"/>
    </row>
    <row r="4" spans="1:6" ht="15.75" x14ac:dyDescent="0.25">
      <c r="A4" s="4" t="s">
        <v>2</v>
      </c>
      <c r="B4" s="5"/>
      <c r="C4" s="5"/>
      <c r="E4" s="3" t="s">
        <v>36</v>
      </c>
    </row>
    <row r="5" spans="1:6" ht="13.5" x14ac:dyDescent="0.25">
      <c r="A5" s="2" t="s">
        <v>3</v>
      </c>
      <c r="B5" s="2" t="s">
        <v>4</v>
      </c>
      <c r="C5" s="2" t="s">
        <v>5</v>
      </c>
      <c r="E5" s="20" t="s">
        <v>37</v>
      </c>
    </row>
    <row r="6" spans="1:6" ht="13.5" x14ac:dyDescent="0.25">
      <c r="A6" t="s">
        <v>6</v>
      </c>
      <c r="B6" s="23">
        <f>_xll.MC.Triangular(12, 15, 22)</f>
        <v>15</v>
      </c>
      <c r="C6" t="s">
        <v>7</v>
      </c>
      <c r="E6" s="20" t="s">
        <v>38</v>
      </c>
    </row>
    <row r="7" spans="1:6" ht="13.5" x14ac:dyDescent="0.25">
      <c r="A7" t="s">
        <v>8</v>
      </c>
      <c r="B7" s="6">
        <f>_xll.MC.Lognormal(9.2, 0.4)</f>
        <v>10721.431916447313</v>
      </c>
      <c r="C7" t="s">
        <v>9</v>
      </c>
      <c r="E7" s="20" t="s">
        <v>39</v>
      </c>
    </row>
    <row r="8" spans="1:6" ht="13.5" x14ac:dyDescent="0.25">
      <c r="A8" t="s">
        <v>10</v>
      </c>
      <c r="B8" s="6">
        <f>_xll.MC.Normal(45, 5)</f>
        <v>45</v>
      </c>
      <c r="C8" t="s">
        <v>11</v>
      </c>
      <c r="E8" s="20" t="s">
        <v>40</v>
      </c>
    </row>
    <row r="9" spans="1:6" ht="13.5" x14ac:dyDescent="0.25">
      <c r="A9" t="s">
        <v>12</v>
      </c>
      <c r="B9" s="7">
        <f>_xll.MC.PERT(50000, 80000, 150000)</f>
        <v>80000</v>
      </c>
      <c r="C9" t="s">
        <v>13</v>
      </c>
      <c r="E9" s="20" t="s">
        <v>41</v>
      </c>
    </row>
    <row r="10" spans="1:6" ht="13.5" x14ac:dyDescent="0.25">
      <c r="A10" t="s">
        <v>14</v>
      </c>
      <c r="B10" s="8">
        <f>_xll.MC.Beta(2, 50)</f>
        <v>3.8461538461538464E-2</v>
      </c>
      <c r="C10" t="s">
        <v>15</v>
      </c>
      <c r="E10" s="20" t="s">
        <v>42</v>
      </c>
    </row>
    <row r="11" spans="1:6" ht="13.5" x14ac:dyDescent="0.25">
      <c r="A11" t="s">
        <v>16</v>
      </c>
      <c r="B11" s="6">
        <f>_xll.MC.Poisson(2)</f>
        <v>2</v>
      </c>
      <c r="C11" t="s">
        <v>17</v>
      </c>
      <c r="E11" s="20" t="s">
        <v>43</v>
      </c>
    </row>
    <row r="12" spans="1:6" ht="13.5" x14ac:dyDescent="0.25">
      <c r="A12" t="s">
        <v>18</v>
      </c>
      <c r="B12" s="6">
        <f>_xll.MC.Binomial(1, 0.3)</f>
        <v>0.3</v>
      </c>
      <c r="C12" t="s">
        <v>19</v>
      </c>
      <c r="E12" s="20" t="s">
        <v>44</v>
      </c>
    </row>
    <row r="13" spans="1:6" ht="13.5" x14ac:dyDescent="0.25">
      <c r="E13" s="20" t="s">
        <v>45</v>
      </c>
    </row>
    <row r="14" spans="1:6" ht="15.75" x14ac:dyDescent="0.25">
      <c r="A14" s="9" t="s">
        <v>20</v>
      </c>
      <c r="B14" s="10"/>
      <c r="C14" s="10"/>
      <c r="E14" s="20" t="s">
        <v>46</v>
      </c>
    </row>
    <row r="15" spans="1:6" ht="13.5" x14ac:dyDescent="0.25">
      <c r="A15" t="s">
        <v>21</v>
      </c>
      <c r="B15" s="11">
        <v>200000</v>
      </c>
      <c r="E15" s="20"/>
    </row>
    <row r="16" spans="1:6" ht="13.5" x14ac:dyDescent="0.25">
      <c r="A16" t="s">
        <v>22</v>
      </c>
      <c r="B16" s="11">
        <v>15000</v>
      </c>
      <c r="E16" s="20" t="s">
        <v>47</v>
      </c>
    </row>
    <row r="17" spans="1:5" ht="13.5" x14ac:dyDescent="0.25">
      <c r="A17" t="s">
        <v>23</v>
      </c>
      <c r="B17" s="12">
        <v>0.15</v>
      </c>
      <c r="E17" s="20" t="s">
        <v>48</v>
      </c>
    </row>
    <row r="18" spans="1:5" ht="13.5" x14ac:dyDescent="0.25">
      <c r="E18" s="20"/>
    </row>
    <row r="19" spans="1:5" ht="15.75" x14ac:dyDescent="0.25">
      <c r="A19" s="13" t="s">
        <v>24</v>
      </c>
      <c r="B19" s="14"/>
      <c r="C19" s="14"/>
      <c r="E19" s="20" t="s">
        <v>49</v>
      </c>
    </row>
    <row r="20" spans="1:5" ht="13.5" x14ac:dyDescent="0.25">
      <c r="A20" t="s">
        <v>25</v>
      </c>
      <c r="B20" s="15">
        <f>B8 * (1 - B12 * B17)</f>
        <v>42.975000000000001</v>
      </c>
      <c r="E20" s="20" t="s">
        <v>50</v>
      </c>
    </row>
    <row r="21" spans="1:5" ht="13.5" x14ac:dyDescent="0.25">
      <c r="A21" t="s">
        <v>26</v>
      </c>
      <c r="B21" s="11">
        <f>B20 * B7</f>
        <v>460753.53660932329</v>
      </c>
      <c r="E21" s="20" t="s">
        <v>51</v>
      </c>
    </row>
    <row r="22" spans="1:5" ht="13.5" x14ac:dyDescent="0.25">
      <c r="A22" t="s">
        <v>27</v>
      </c>
      <c r="B22" s="11">
        <f>B6 * B7</f>
        <v>160821.4787467097</v>
      </c>
      <c r="E22" s="20" t="s">
        <v>52</v>
      </c>
    </row>
    <row r="23" spans="1:5" ht="13.5" x14ac:dyDescent="0.25">
      <c r="A23" t="s">
        <v>28</v>
      </c>
      <c r="B23" s="11">
        <f>B10 * B22 * 2</f>
        <v>12370.882980516131</v>
      </c>
      <c r="C23" s="1" t="s">
        <v>29</v>
      </c>
      <c r="E23" s="20" t="s">
        <v>53</v>
      </c>
    </row>
    <row r="24" spans="1:5" ht="13.5" x14ac:dyDescent="0.25">
      <c r="A24" t="s">
        <v>30</v>
      </c>
      <c r="B24" s="11">
        <f>B11 * B16</f>
        <v>30000</v>
      </c>
      <c r="E24" s="20" t="s">
        <v>54</v>
      </c>
    </row>
    <row r="25" spans="1:5" ht="13.5" x14ac:dyDescent="0.25">
      <c r="A25" s="2" t="s">
        <v>31</v>
      </c>
      <c r="B25" s="11">
        <f>B22 + B9 + B15 + B23 + B24</f>
        <v>483192.36172722583</v>
      </c>
      <c r="E25" s="20" t="s">
        <v>55</v>
      </c>
    </row>
    <row r="26" spans="1:5" ht="13.5" x14ac:dyDescent="0.25">
      <c r="E26" s="20" t="s">
        <v>56</v>
      </c>
    </row>
    <row r="27" spans="1:5" ht="15.75" x14ac:dyDescent="0.25">
      <c r="A27" s="16" t="s">
        <v>32</v>
      </c>
      <c r="B27" s="17"/>
      <c r="C27" s="17"/>
    </row>
    <row r="28" spans="1:5" ht="17.25" x14ac:dyDescent="0.3">
      <c r="A28" t="s">
        <v>33</v>
      </c>
      <c r="B28" s="18">
        <f>B21 - B25</f>
        <v>-22438.825117902539</v>
      </c>
    </row>
    <row r="29" spans="1:5" ht="17.25" x14ac:dyDescent="0.3">
      <c r="A29" t="s">
        <v>34</v>
      </c>
      <c r="B29" s="19">
        <f>B28 / B25</f>
        <v>-4.6438699977980648E-2</v>
      </c>
    </row>
    <row r="30" spans="1:5" ht="17.25" x14ac:dyDescent="0.3">
      <c r="A30" t="s">
        <v>35</v>
      </c>
      <c r="B30" s="18">
        <f>(B9 + B15 + B24) / (B20 - B6)</f>
        <v>11081.322609472743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5E0A-AB09-42F7-8611-4201F96B1947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onteCarloConfig xmlns="urn:montecarlo-xl:config:v1">
  <Profile name="Default"><![CDATA[{
  "name": "Default",
  "iterationCount": 5000,
  "randomSeed": null,
  "inputs": [
    {
      "sheetName": "Product Launch Model",
      "cellAddress": "B6",
      "label": "Unit Mfg Cost ($)",
      "distributionName": "Triangular",
      "parameters": {
        "min": 12,
        "mode": 15,
        "max": 22
      }
    }
  ],
  "outputs": [],
  "correlationMatrix": null,
  "correlationMatrixSize": 0
}]]></Profile>
</MonteCarloConfig>
</file>

<file path=customXml/itemProps1.xml><?xml version="1.0" encoding="utf-8"?>
<ds:datastoreItem xmlns:ds="http://schemas.openxmlformats.org/officeDocument/2006/customXml" ds:itemID="{7C7C59C8-27A6-46D1-83E3-1118511AB68E}">
  <ds:schemaRefs>
    <ds:schemaRef ds:uri="urn:montecarlo-xl:config:v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Launch Model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Miller</dc:creator>
  <cp:lastModifiedBy>Ryan Miller</cp:lastModifiedBy>
  <dcterms:created xsi:type="dcterms:W3CDTF">2026-04-18T22:06:54Z</dcterms:created>
  <dcterms:modified xsi:type="dcterms:W3CDTF">2026-04-19T11:28:27Z</dcterms:modified>
</cp:coreProperties>
</file>