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2453df3e28d0d9/04 - Projects/MonteCarlo.XL/samples/"/>
    </mc:Choice>
  </mc:AlternateContent>
  <xr:revisionPtr revIDLastSave="4527" documentId="8_{6CE13CD2-F145-4686-82EE-1CECA8270112}" xr6:coauthVersionLast="47" xr6:coauthVersionMax="47" xr10:uidLastSave="{4EC4F07E-EE3E-4347-811A-F2A45FF398B3}"/>
  <bookViews>
    <workbookView xWindow="28680" yWindow="-120" windowWidth="29040" windowHeight="15720" activeTab="3" xr2:uid="{DE2A6105-9CAF-4ED7-AB3C-AA8D1A93A4D9}"/>
  </bookViews>
  <sheets>
    <sheet name="Product Launch Model" sheetId="1" r:id="rId1"/>
    <sheet name="Sheet2" sheetId="2" r:id="rId2"/>
    <sheet name="MC Results — Net Profit ($)" sheetId="3" r:id="rId3"/>
    <sheet name="MC Results — Net Profit ($) (2)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23" i="1" s="1"/>
  <c r="B20" i="1"/>
  <c r="B24" i="1"/>
  <c r="B25" i="1" l="1"/>
  <c r="B30" i="1"/>
  <c r="B21" i="1"/>
  <c r="B28" i="1" l="1"/>
  <c r="B29" i="1" s="1"/>
</calcChain>
</file>

<file path=xl/sharedStrings.xml><?xml version="1.0" encoding="utf-8"?>
<sst xmlns="http://schemas.openxmlformats.org/spreadsheetml/2006/main" count="197" uniqueCount="107">
  <si>
    <t>NEW PRODUCT LAUNCH - COST &amp; REVENUE MODEL</t>
  </si>
  <si>
    <t>MonteCarlo.XL Tutorial - Run a simulation to see the distribution of outcomes</t>
  </si>
  <si>
    <t>ASSUMPTIONS (Uncertain Inputs)</t>
  </si>
  <si>
    <t>Variable</t>
  </si>
  <si>
    <t>Value (Expected)</t>
  </si>
  <si>
    <t>Distribution</t>
  </si>
  <si>
    <t>Unit Mfg Cost ($)</t>
  </si>
  <si>
    <t>Triangular(12, 15, 22)</t>
  </si>
  <si>
    <t>Units Sold (Year 1)</t>
  </si>
  <si>
    <t>Lognormal(mu=9.2, sigma=0.4)</t>
  </si>
  <si>
    <t>Selling Price ($)</t>
  </si>
  <si>
    <t>Normal(45, 5)</t>
  </si>
  <si>
    <t>Marketing Spend ($)</t>
  </si>
  <si>
    <t>PERT(50k, 80k, 150k)</t>
  </si>
  <si>
    <t>Defect Rate</t>
  </si>
  <si>
    <t>Beta(2, 50) ~3.8% mean</t>
  </si>
  <si>
    <t>Dev Delay (months)</t>
  </si>
  <si>
    <t>Poisson(lambda=2)</t>
  </si>
  <si>
    <t>Competitor Enters? (0/1)</t>
  </si>
  <si>
    <t>Binomial(1, 0.3) - 30% chance</t>
  </si>
  <si>
    <t>FIXED ASSUMPTIONS</t>
  </si>
  <si>
    <t>Development Cost ($)</t>
  </si>
  <si>
    <t>Delay Penalty ($/month)</t>
  </si>
  <si>
    <t>Competitor Price Impact</t>
  </si>
  <si>
    <t>MODEL CALCULATIONS</t>
  </si>
  <si>
    <t>Effective Price ($)</t>
  </si>
  <si>
    <t>Gross Revenue ($)</t>
  </si>
  <si>
    <t>Cost of Goods Sold ($)</t>
  </si>
  <si>
    <t>Warranty Costs ($)</t>
  </si>
  <si>
    <t>Defects cost 2x manufacturing</t>
  </si>
  <si>
    <t>Delay Penalty ($)</t>
  </si>
  <si>
    <t>Total Costs ($)</t>
  </si>
  <si>
    <t>KEY OUTPUTS (Simulation Targets)</t>
  </si>
  <si>
    <t>Net Profit ($)</t>
  </si>
  <si>
    <t>ROI (%)</t>
  </si>
  <si>
    <t>Break-Even Units</t>
  </si>
  <si>
    <t>HOW TO USE</t>
  </si>
  <si>
    <t>1. Open the MonteCarlo.XL task pane (Ctrl+Shift+T)</t>
  </si>
  <si>
    <t>2. Click 'Add Input' and select each green cell (B6:B12)</t>
  </si>
  <si>
    <t>3. Click 'Add Output' and select each purple cell (B28:B30)</t>
  </si>
  <si>
    <t>4. Click Run Simulation (Ctrl+Shift+R)</t>
  </si>
  <si>
    <t>5. Watch the live histogram build during iteration</t>
  </si>
  <si>
    <t>6. Review results: histogram, CDF, tornado sensitivity</t>
  </si>
  <si>
    <t>7. Enter a target value (e.g. 0 for Net Profit) to see P(loss)</t>
  </si>
  <si>
    <t>8. Toggle PDF/CDF to see the probability density overlay</t>
  </si>
  <si>
    <t>9. Select inputs in the scatter dropdown to explore correlations</t>
  </si>
  <si>
    <t>10. Click Export to create a summary worksheet</t>
  </si>
  <si>
    <t>TIP: Try 10,000 iterations with LHS sampling for smooth</t>
  </si>
  <si>
    <t>results. This model has 7 uncertain inputs and 3 outputs.</t>
  </si>
  <si>
    <t>DISTRIBUTIONS USED:</t>
  </si>
  <si>
    <t xml:space="preserve">  Triangular - vendor cost quotes (min/mode/max)</t>
  </si>
  <si>
    <t xml:space="preserve">  Lognormal  - demand (right-skewed, always positive)</t>
  </si>
  <si>
    <t xml:space="preserve">  Normal     - price (symmetric around market research)</t>
  </si>
  <si>
    <t xml:space="preserve">  PERT       - budget (weighted toward most likely)</t>
  </si>
  <si>
    <t xml:space="preserve">  Beta       - defect rate (bounded 0-1, low mean)</t>
  </si>
  <si>
    <t xml:space="preserve">  Poisson    - schedule delays (discrete events)</t>
  </si>
  <si>
    <t xml:space="preserve">  Binomial   - competitor entry (yes/no event)</t>
  </si>
  <si>
    <t>MonteCarlo.XL Simulation Results</t>
  </si>
  <si>
    <t>Output: Net Profit ($)</t>
  </si>
  <si>
    <t>Iterations: 5,000</t>
  </si>
  <si>
    <t>Date: 2026-04-19</t>
  </si>
  <si>
    <t>SUMMARY STATISTICS</t>
  </si>
  <si>
    <t>Statistic</t>
  </si>
  <si>
    <t>Value</t>
  </si>
  <si>
    <t>Mean</t>
  </si>
  <si>
    <t>Median</t>
  </si>
  <si>
    <t>Std Dev</t>
  </si>
  <si>
    <t>Variance</t>
  </si>
  <si>
    <t>Minimum</t>
  </si>
  <si>
    <t>Maximum</t>
  </si>
  <si>
    <t>Skewness</t>
  </si>
  <si>
    <t>Kurtosis</t>
  </si>
  <si>
    <t>PERCENTILES</t>
  </si>
  <si>
    <t>Percentile</t>
  </si>
  <si>
    <t>P1</t>
  </si>
  <si>
    <t>P5</t>
  </si>
  <si>
    <t>P10</t>
  </si>
  <si>
    <t>P25</t>
  </si>
  <si>
    <t>P50</t>
  </si>
  <si>
    <t>P75</t>
  </si>
  <si>
    <t>P90</t>
  </si>
  <si>
    <t>P95</t>
  </si>
  <si>
    <t>P99</t>
  </si>
  <si>
    <t>SENSITIVITY (TOP 7 INPUTS)</t>
  </si>
  <si>
    <t>Input</t>
  </si>
  <si>
    <t>Rank Corr</t>
  </si>
  <si>
    <t>Swing</t>
  </si>
  <si>
    <t>% Variance</t>
  </si>
  <si>
    <t>INPUT ASSUMPTIONS</t>
  </si>
  <si>
    <t>Cell</t>
  </si>
  <si>
    <t>Product Launch Model!B6</t>
  </si>
  <si>
    <t>Product Launch Model!B8</t>
  </si>
  <si>
    <t>Normal(μ=45, σ=5)</t>
  </si>
  <si>
    <t>Product Launch Model!B12</t>
  </si>
  <si>
    <t>Binomial</t>
  </si>
  <si>
    <t>Product Launch Model!B11</t>
  </si>
  <si>
    <t>Poisson</t>
  </si>
  <si>
    <t>Product Launch Model!B7</t>
  </si>
  <si>
    <t>Lognormal(μ=9.2, σ=0.4)</t>
  </si>
  <si>
    <t>Product Launch Model!B10</t>
  </si>
  <si>
    <t>Beta</t>
  </si>
  <si>
    <t>Product Launch Model!B9</t>
  </si>
  <si>
    <t>PERT(50000, 80000, 150000)</t>
  </si>
  <si>
    <t>Bin</t>
  </si>
  <si>
    <t>Relative Frequency</t>
  </si>
  <si>
    <t>P10 Impact</t>
  </si>
  <si>
    <t>P90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</si>
</sst>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9" x14ac:knownFonts="1">
    <font>
      <sz val="9"/>
      <color theme="1"/>
      <name val="Aptos Serif"/>
      <family val="2"/>
    </font>
    <font>
      <b/>
      <sz val="16"/>
      <color theme="1"/>
      <name val="Aptos Serif"/>
      <family val="1"/>
    </font>
    <font>
      <i/>
      <sz val="9"/>
      <color rgb="FF808080"/>
      <name val="Aptos Serif"/>
      <family val="1"/>
    </font>
    <font>
      <b/>
      <sz val="9"/>
      <color theme="1"/>
      <name val="Aptos Serif"/>
      <family val="1"/>
    </font>
    <font>
      <b/>
      <sz val="12"/>
      <color theme="1"/>
      <name val="Aptos Serif"/>
      <family val="1"/>
    </font>
    <font>
      <b/>
      <sz val="13"/>
      <color theme="1"/>
      <name val="Aptos Serif"/>
      <family val="1"/>
    </font>
    <font>
      <sz val="10"/>
      <color theme="1"/>
      <name val="Aptos Serif"/>
      <family val="2"/>
    </font>
    <font>
      <sz val="12"/>
      <color theme="1"/>
      <name val="Aptos Serif"/>
      <family val="2"/>
    </font>
    <font>
      <b/>
      <sz val="14"/>
      <color theme="1"/>
      <name val="Aptos Serif"/>
      <family val="1"/>
    </font>
  </fonts>
  <fills count="9">
    <fill>
      <patternFill patternType="none"/>
    </fill>
    <fill>
      <patternFill patternType="gray125"/>
    </fill>
    <fill>
      <patternFill patternType="solid">
        <fgColor rgb="FFCCF2FF"/>
        <bgColor indexed="64"/>
      </patternFill>
    </fill>
    <fill>
      <patternFill patternType="solid">
        <fgColor rgb="FFF3E2D9"/>
        <bgColor indexed="64"/>
      </patternFill>
    </fill>
    <fill>
      <patternFill patternType="solid">
        <fgColor rgb="FFD6E4FC"/>
        <bgColor indexed="64"/>
      </patternFill>
    </fill>
    <fill>
      <patternFill patternType="solid">
        <fgColor rgb="FFBDA6D5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8F8F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E2E8E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2" borderId="0" xfId="0" applyFont="1" applyFill="1"/>
    <xf numFmtId="0" fontId="0" fillId="2" borderId="0" xfId="0" applyFill="1"/>
    <xf numFmtId="0" fontId="4" fillId="3" borderId="0" xfId="0" applyFont="1" applyFill="1"/>
    <xf numFmtId="0" fontId="0" fillId="3" borderId="0" xfId="0" applyFill="1"/>
    <xf numFmtId="3" fontId="0" fillId="0" borderId="0" xfId="0" applyNumberFormat="1"/>
    <xf numFmtId="9" fontId="0" fillId="0" borderId="0" xfId="0" applyNumberFormat="1"/>
    <xf numFmtId="0" fontId="4" fillId="4" borderId="0" xfId="0" applyFont="1" applyFill="1"/>
    <xf numFmtId="0" fontId="0" fillId="4" borderId="0" xfId="0" applyFill="1"/>
    <xf numFmtId="4" fontId="0" fillId="0" borderId="0" xfId="0" applyNumberFormat="1"/>
    <xf numFmtId="0" fontId="4" fillId="5" borderId="0" xfId="0" applyFont="1" applyFill="1"/>
    <xf numFmtId="0" fontId="0" fillId="5" borderId="0" xfId="0" applyFill="1"/>
    <xf numFmtId="0" fontId="6" fillId="0" borderId="0" xfId="0" applyFont="1"/>
    <xf numFmtId="0" fontId="1" fillId="0" borderId="0" xfId="0" applyFont="1"/>
    <xf numFmtId="0" fontId="3" fillId="6" borderId="0" xfId="0" applyFont="1" applyFill="1"/>
    <xf numFmtId="10" fontId="3" fillId="6" borderId="0" xfId="0" applyNumberFormat="1" applyFont="1" applyFill="1"/>
    <xf numFmtId="3" fontId="3" fillId="6" borderId="0" xfId="0" applyNumberFormat="1" applyFont="1" applyFill="1"/>
    <xf numFmtId="3" fontId="5" fillId="7" borderId="0" xfId="0" applyNumberFormat="1" applyFont="1" applyFill="1"/>
    <xf numFmtId="164" fontId="5" fillId="7" borderId="0" xfId="0" applyNumberFormat="1" applyFont="1" applyFill="1"/>
    <xf numFmtId="0" fontId="7" fillId="0" borderId="0" xfId="0" applyFont="1"/>
    <xf numFmtId="0" fontId="8" fillId="0" borderId="1" xfId="0" applyFont="1" applyBorder="1"/>
    <xf numFmtId="0" fontId="0" fillId="0" borderId="1" xfId="0" applyBorder="1"/>
    <xf numFmtId="0" fontId="3" fillId="8" borderId="0" xfId="0" applyFont="1" applyFill="1"/>
    <xf numFmtId="0" fontId="0" fillId="8" borderId="0" xfId="0" applyFill="1"/>
    <xf numFmtId="3" fontId="0" fillId="8" borderId="0" xfId="0" applyNumberFormat="1" applyFill="1"/>
    <xf numFmtId="2" fontId="0" fillId="0" borderId="0" xfId="0" applyNumberFormat="1"/>
    <xf numFmtId="2" fontId="0" fillId="8" borderId="0" xfId="0" applyNumberFormat="1" applyFill="1"/>
    <xf numFmtId="165" fontId="0" fillId="0" borderId="0" xfId="0" applyNumberFormat="1"/>
    <xf numFmtId="164" fontId="0" fillId="0" borderId="0" xfId="0" applyNumberFormat="1"/>
    <xf numFmtId="165" fontId="0" fillId="8" borderId="0" xfId="0" applyNumberFormat="1" applyFill="1"/>
    <xf numFmtId="164" fontId="0" fillId="8" borderId="0" xfId="0" applyNumberFormat="1" applyFill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Net Profit ($)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Relative Frequency</c:v>
          </c:tx>
          <c:invertIfNegative val="0"/>
          <c:cat>
            <c:numRef>
              <c:f>'MC Results — Net Profit ($) (2)'!$AA$2:$AA$51</c:f>
              <c:numCache>
                <c:formatCode>General</c:formatCode>
                <c:ptCount val="50"/>
                <c:pt idx="0">
                  <c:v>-288394.46390262153</c:v>
                </c:pt>
                <c:pt idx="1">
                  <c:v>-263347.24196587235</c:v>
                </c:pt>
                <c:pt idx="2">
                  <c:v>-238300.02002912312</c:v>
                </c:pt>
                <c:pt idx="3">
                  <c:v>-213252.79809237388</c:v>
                </c:pt>
                <c:pt idx="4">
                  <c:v>-188205.57615562464</c:v>
                </c:pt>
                <c:pt idx="5">
                  <c:v>-163158.35421887541</c:v>
                </c:pt>
                <c:pt idx="6">
                  <c:v>-138111.1322821262</c:v>
                </c:pt>
                <c:pt idx="7">
                  <c:v>-113063.91034537696</c:v>
                </c:pt>
                <c:pt idx="8">
                  <c:v>-88016.688408627728</c:v>
                </c:pt>
                <c:pt idx="9">
                  <c:v>-62969.466471878492</c:v>
                </c:pt>
                <c:pt idx="10">
                  <c:v>-37922.244535129255</c:v>
                </c:pt>
                <c:pt idx="11">
                  <c:v>-12875.022598380048</c:v>
                </c:pt>
                <c:pt idx="12">
                  <c:v>12172.199338369159</c:v>
                </c:pt>
                <c:pt idx="13">
                  <c:v>37219.421275118395</c:v>
                </c:pt>
                <c:pt idx="14">
                  <c:v>62266.643211867631</c:v>
                </c:pt>
                <c:pt idx="15">
                  <c:v>87313.865148616867</c:v>
                </c:pt>
                <c:pt idx="16">
                  <c:v>112361.0870853661</c:v>
                </c:pt>
                <c:pt idx="17">
                  <c:v>137408.30902211534</c:v>
                </c:pt>
                <c:pt idx="18">
                  <c:v>162455.53095886458</c:v>
                </c:pt>
                <c:pt idx="19">
                  <c:v>187502.75289561381</c:v>
                </c:pt>
                <c:pt idx="20">
                  <c:v>212549.97483236302</c:v>
                </c:pt>
                <c:pt idx="21">
                  <c:v>237597.19676911226</c:v>
                </c:pt>
                <c:pt idx="22">
                  <c:v>262644.41870586149</c:v>
                </c:pt>
                <c:pt idx="23">
                  <c:v>287691.64064261067</c:v>
                </c:pt>
                <c:pt idx="24">
                  <c:v>312738.86257935991</c:v>
                </c:pt>
                <c:pt idx="25">
                  <c:v>337786.08451610914</c:v>
                </c:pt>
                <c:pt idx="26">
                  <c:v>362833.30645285838</c:v>
                </c:pt>
                <c:pt idx="27">
                  <c:v>387880.52838960761</c:v>
                </c:pt>
                <c:pt idx="28">
                  <c:v>412927.75032635685</c:v>
                </c:pt>
                <c:pt idx="29">
                  <c:v>437974.97226310609</c:v>
                </c:pt>
                <c:pt idx="30">
                  <c:v>463022.19419985532</c:v>
                </c:pt>
                <c:pt idx="31">
                  <c:v>488069.41613660456</c:v>
                </c:pt>
                <c:pt idx="32">
                  <c:v>513116.63807335374</c:v>
                </c:pt>
                <c:pt idx="33">
                  <c:v>538163.86001010297</c:v>
                </c:pt>
                <c:pt idx="34">
                  <c:v>563211.08194685215</c:v>
                </c:pt>
                <c:pt idx="35">
                  <c:v>588258.30388360145</c:v>
                </c:pt>
                <c:pt idx="36">
                  <c:v>613305.52582035074</c:v>
                </c:pt>
                <c:pt idx="37">
                  <c:v>638352.74775709992</c:v>
                </c:pt>
                <c:pt idx="38">
                  <c:v>663399.9696938491</c:v>
                </c:pt>
                <c:pt idx="39">
                  <c:v>688447.19163059839</c:v>
                </c:pt>
                <c:pt idx="40">
                  <c:v>713494.41356734768</c:v>
                </c:pt>
                <c:pt idx="41">
                  <c:v>738541.63550409675</c:v>
                </c:pt>
                <c:pt idx="42">
                  <c:v>763588.85744084604</c:v>
                </c:pt>
                <c:pt idx="43">
                  <c:v>788636.07937759534</c:v>
                </c:pt>
                <c:pt idx="44">
                  <c:v>813683.30131434451</c:v>
                </c:pt>
                <c:pt idx="45">
                  <c:v>838730.52325109369</c:v>
                </c:pt>
                <c:pt idx="46">
                  <c:v>863777.74518784299</c:v>
                </c:pt>
                <c:pt idx="47">
                  <c:v>888824.96712459216</c:v>
                </c:pt>
                <c:pt idx="48">
                  <c:v>913872.18906134134</c:v>
                </c:pt>
                <c:pt idx="49">
                  <c:v>938919.41099809064</c:v>
                </c:pt>
              </c:numCache>
            </c:numRef>
          </c:cat>
          <c:val>
            <c:numRef>
              <c:f>'MC Results — Net Profit ($) (2)'!$AB$2:$AB$51</c:f>
              <c:numCache>
                <c:formatCode>General</c:formatCode>
                <c:ptCount val="50"/>
                <c:pt idx="0">
                  <c:v>3.2000000000000002E-3</c:v>
                </c:pt>
                <c:pt idx="1">
                  <c:v>9.7999999999999997E-3</c:v>
                </c:pt>
                <c:pt idx="2">
                  <c:v>2.0400000000000001E-2</c:v>
                </c:pt>
                <c:pt idx="3">
                  <c:v>4.2599999999999999E-2</c:v>
                </c:pt>
                <c:pt idx="4">
                  <c:v>5.9400000000000001E-2</c:v>
                </c:pt>
                <c:pt idx="5">
                  <c:v>7.6200000000000004E-2</c:v>
                </c:pt>
                <c:pt idx="6">
                  <c:v>8.2600000000000007E-2</c:v>
                </c:pt>
                <c:pt idx="7">
                  <c:v>9.3200000000000005E-2</c:v>
                </c:pt>
                <c:pt idx="8">
                  <c:v>9.4200000000000006E-2</c:v>
                </c:pt>
                <c:pt idx="9">
                  <c:v>7.8600000000000003E-2</c:v>
                </c:pt>
                <c:pt idx="10">
                  <c:v>7.7200000000000005E-2</c:v>
                </c:pt>
                <c:pt idx="11">
                  <c:v>6.5600000000000006E-2</c:v>
                </c:pt>
                <c:pt idx="12">
                  <c:v>0.06</c:v>
                </c:pt>
                <c:pt idx="13">
                  <c:v>3.8399999999999997E-2</c:v>
                </c:pt>
                <c:pt idx="14">
                  <c:v>3.8800000000000001E-2</c:v>
                </c:pt>
                <c:pt idx="15">
                  <c:v>2.98E-2</c:v>
                </c:pt>
                <c:pt idx="16">
                  <c:v>2.64E-2</c:v>
                </c:pt>
                <c:pt idx="17">
                  <c:v>1.9E-2</c:v>
                </c:pt>
                <c:pt idx="18">
                  <c:v>1.5599999999999999E-2</c:v>
                </c:pt>
                <c:pt idx="19">
                  <c:v>1.6199999999999999E-2</c:v>
                </c:pt>
                <c:pt idx="20">
                  <c:v>1.2200000000000001E-2</c:v>
                </c:pt>
                <c:pt idx="21">
                  <c:v>8.9999999999999993E-3</c:v>
                </c:pt>
                <c:pt idx="22">
                  <c:v>6.1999999999999998E-3</c:v>
                </c:pt>
                <c:pt idx="23">
                  <c:v>4.1999999999999997E-3</c:v>
                </c:pt>
                <c:pt idx="24">
                  <c:v>4.0000000000000001E-3</c:v>
                </c:pt>
                <c:pt idx="25">
                  <c:v>2.8E-3</c:v>
                </c:pt>
                <c:pt idx="26">
                  <c:v>3.2000000000000002E-3</c:v>
                </c:pt>
                <c:pt idx="27">
                  <c:v>1.8E-3</c:v>
                </c:pt>
                <c:pt idx="28">
                  <c:v>1.6000000000000001E-3</c:v>
                </c:pt>
                <c:pt idx="29">
                  <c:v>1.1999999999999999E-3</c:v>
                </c:pt>
                <c:pt idx="30">
                  <c:v>1.1999999999999999E-3</c:v>
                </c:pt>
                <c:pt idx="31">
                  <c:v>4.0000000000000002E-4</c:v>
                </c:pt>
                <c:pt idx="32">
                  <c:v>8.0000000000000004E-4</c:v>
                </c:pt>
                <c:pt idx="33">
                  <c:v>5.9999999999999995E-4</c:v>
                </c:pt>
                <c:pt idx="34">
                  <c:v>2.0000000000000001E-4</c:v>
                </c:pt>
                <c:pt idx="35">
                  <c:v>8.0000000000000004E-4</c:v>
                </c:pt>
                <c:pt idx="36">
                  <c:v>4.0000000000000002E-4</c:v>
                </c:pt>
                <c:pt idx="37">
                  <c:v>2.0000000000000001E-4</c:v>
                </c:pt>
                <c:pt idx="38">
                  <c:v>2.0000000000000001E-4</c:v>
                </c:pt>
                <c:pt idx="39">
                  <c:v>4.0000000000000002E-4</c:v>
                </c:pt>
                <c:pt idx="40">
                  <c:v>2.0000000000000001E-4</c:v>
                </c:pt>
                <c:pt idx="41">
                  <c:v>2.0000000000000001E-4</c:v>
                </c:pt>
                <c:pt idx="42">
                  <c:v>4.0000000000000002E-4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2.0000000000000001E-4</c:v>
                </c:pt>
                <c:pt idx="47">
                  <c:v>0</c:v>
                </c:pt>
                <c:pt idx="48">
                  <c:v>2.0000000000000001E-4</c:v>
                </c:pt>
                <c:pt idx="49">
                  <c:v>2.0000000000000001E-4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E-4C77-A36E-0A2A48566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9009568"/>
        <c:axId val="499010048"/>
      </c:barChart>
      <c:catAx>
        <c:axId val="499009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Output value</a:t>
                </a:r>
              </a:p>
            </c:rich>
          </c:tx>
          <c:overlay val="0"/>
        </c:title>
        <c:numFmt formatCode="#,##0" sourceLinked="0"/>
        <c:majorTickMark val="out"/>
        <c:minorTickMark val="none"/>
        <c:tickLblPos val="nextTo"/>
        <c:crossAx val="499010048"/>
        <c:crosses val="autoZero"/>
        <c:auto val="1"/>
        <c:lblAlgn val="ctr"/>
        <c:lblOffset val="100"/>
        <c:noMultiLvlLbl val="0"/>
      </c:catAx>
      <c:valAx>
        <c:axId val="4990100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Relative frequency</a:t>
                </a:r>
              </a:p>
            </c:rich>
          </c:tx>
          <c:overlay val="0"/>
        </c:title>
        <c:numFmt formatCode="0.0%" sourceLinked="0"/>
        <c:majorTickMark val="out"/>
        <c:minorTickMark val="none"/>
        <c:tickLblPos val="nextTo"/>
        <c:crossAx val="499009568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Sensitivity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Input P10</c:v>
          </c:tx>
          <c:invertIfNegative val="0"/>
          <c:cat>
            <c:strRef>
              <c:f>'MC Results — Net Profit ($) (2)'!$AD$2:$AD$8</c:f>
              <c:strCache>
                <c:ptCount val="7"/>
                <c:pt idx="0">
                  <c:v>Defect Rate</c:v>
                </c:pt>
                <c:pt idx="1">
                  <c:v>Dev Delay (months)</c:v>
                </c:pt>
                <c:pt idx="2">
                  <c:v>Marketing Spend ($)</c:v>
                </c:pt>
                <c:pt idx="3">
                  <c:v>Unit Mfg Cost ($)</c:v>
                </c:pt>
                <c:pt idx="4">
                  <c:v>Competitor Enters? (0/1)</c:v>
                </c:pt>
                <c:pt idx="5">
                  <c:v>Selling Price ($)</c:v>
                </c:pt>
                <c:pt idx="6">
                  <c:v>Units Sold (Year 1)</c:v>
                </c:pt>
              </c:strCache>
            </c:strRef>
          </c:cat>
          <c:val>
            <c:numRef>
              <c:f>'MC Results — Net Profit ($) (2)'!$AE$2:$AE$8</c:f>
              <c:numCache>
                <c:formatCode>General</c:formatCode>
                <c:ptCount val="7"/>
                <c:pt idx="0">
                  <c:v>43489.202695485619</c:v>
                </c:pt>
                <c:pt idx="1">
                  <c:v>43840.743281677729</c:v>
                </c:pt>
                <c:pt idx="2">
                  <c:v>48749.950121117916</c:v>
                </c:pt>
                <c:pt idx="3">
                  <c:v>55760.680715506562</c:v>
                </c:pt>
                <c:pt idx="4">
                  <c:v>49135.567208000924</c:v>
                </c:pt>
                <c:pt idx="5">
                  <c:v>-63016.722614992206</c:v>
                </c:pt>
                <c:pt idx="6">
                  <c:v>-116061.43867185959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BE-4CFC-84EB-C0C000CB4E50}"/>
            </c:ext>
          </c:extLst>
        </c:ser>
        <c:ser>
          <c:idx val="1"/>
          <c:order val="1"/>
          <c:tx>
            <c:v>Input P90</c:v>
          </c:tx>
          <c:invertIfNegative val="0"/>
          <c:cat>
            <c:strRef>
              <c:f>'MC Results — Net Profit ($) (2)'!$AD$2:$AD$8</c:f>
              <c:strCache>
                <c:ptCount val="7"/>
                <c:pt idx="0">
                  <c:v>Defect Rate</c:v>
                </c:pt>
                <c:pt idx="1">
                  <c:v>Dev Delay (months)</c:v>
                </c:pt>
                <c:pt idx="2">
                  <c:v>Marketing Spend ($)</c:v>
                </c:pt>
                <c:pt idx="3">
                  <c:v>Unit Mfg Cost ($)</c:v>
                </c:pt>
                <c:pt idx="4">
                  <c:v>Competitor Enters? (0/1)</c:v>
                </c:pt>
                <c:pt idx="5">
                  <c:v>Selling Price ($)</c:v>
                </c:pt>
                <c:pt idx="6">
                  <c:v>Units Sold (Year 1)</c:v>
                </c:pt>
              </c:strCache>
            </c:strRef>
          </c:cat>
          <c:val>
            <c:numRef>
              <c:f>'MC Results — Net Profit ($) (2)'!$AF$2:$AF$8</c:f>
              <c:numCache>
                <c:formatCode>General</c:formatCode>
                <c:ptCount val="7"/>
                <c:pt idx="0">
                  <c:v>9491.912847061707</c:v>
                </c:pt>
                <c:pt idx="1">
                  <c:v>-8611.4666470377124</c:v>
                </c:pt>
                <c:pt idx="2">
                  <c:v>-18121.598763323811</c:v>
                </c:pt>
                <c:pt idx="3">
                  <c:v>-12481.589280487315</c:v>
                </c:pt>
                <c:pt idx="4">
                  <c:v>-22273.370521482604</c:v>
                </c:pt>
                <c:pt idx="5">
                  <c:v>104318.68343506276</c:v>
                </c:pt>
                <c:pt idx="6">
                  <c:v>265478.14778783626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BE-4CFC-84EB-C0C000CB4E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2220608"/>
        <c:axId val="642223008"/>
      </c:barChart>
      <c:catAx>
        <c:axId val="642220608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crossAx val="642223008"/>
        <c:crosses val="autoZero"/>
        <c:auto val="1"/>
        <c:lblAlgn val="ctr"/>
        <c:lblOffset val="100"/>
        <c:noMultiLvlLbl val="0"/>
      </c:catAx>
      <c:valAx>
        <c:axId val="642223008"/>
        <c:scaling>
          <c:orientation val="minMax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Change from median output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64222060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11</xdr:col>
      <xdr:colOff>495300</xdr:colOff>
      <xdr:row>15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63A149-2722-E52C-21D7-6A2F9DB3DE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476249</xdr:colOff>
      <xdr:row>17</xdr:row>
      <xdr:rowOff>142875</xdr:rowOff>
    </xdr:from>
    <xdr:to>
      <xdr:col>17</xdr:col>
      <xdr:colOff>466724</xdr:colOff>
      <xdr:row>44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817755-1D0F-0C40-4171-62ABDAE0E8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FF8FA-16C5-42DC-B1A8-142F6D1FEB4F}">
  <dimension ref="A1:F30"/>
  <sheetViews>
    <sheetView workbookViewId="0">
      <selection activeCell="G24" sqref="G24"/>
    </sheetView>
  </sheetViews>
  <sheetFormatPr defaultRowHeight="12" x14ac:dyDescent="0.2"/>
  <cols>
    <col min="1" max="1" width="28.7109375" customWidth="1"/>
    <col min="2" max="2" width="18.7109375" customWidth="1"/>
    <col min="3" max="3" width="32.7109375" customWidth="1"/>
    <col min="4" max="4" width="3.7109375" customWidth="1"/>
    <col min="5" max="5" width="58.7109375" customWidth="1"/>
  </cols>
  <sheetData>
    <row r="1" spans="1:6" ht="21" x14ac:dyDescent="0.35">
      <c r="A1" s="34" t="s">
        <v>0</v>
      </c>
      <c r="B1" s="34"/>
      <c r="C1" s="34"/>
      <c r="D1" s="34"/>
      <c r="E1" s="34"/>
      <c r="F1" s="34"/>
    </row>
    <row r="2" spans="1:6" x14ac:dyDescent="0.2">
      <c r="A2" s="35" t="s">
        <v>1</v>
      </c>
      <c r="B2" s="35"/>
      <c r="C2" s="35"/>
      <c r="D2" s="35"/>
      <c r="E2" s="35"/>
      <c r="F2" s="35"/>
    </row>
    <row r="4" spans="1:6" ht="15.75" x14ac:dyDescent="0.25">
      <c r="A4" s="4" t="s">
        <v>2</v>
      </c>
      <c r="B4" s="5"/>
      <c r="C4" s="5"/>
      <c r="E4" s="3" t="s">
        <v>36</v>
      </c>
    </row>
    <row r="5" spans="1:6" ht="13.5" x14ac:dyDescent="0.25">
      <c r="A5" s="2" t="s">
        <v>3</v>
      </c>
      <c r="B5" s="2" t="s">
        <v>4</v>
      </c>
      <c r="C5" s="2" t="s">
        <v>5</v>
      </c>
      <c r="E5" s="15" t="s">
        <v>37</v>
      </c>
    </row>
    <row r="6" spans="1:6" ht="13.5" x14ac:dyDescent="0.25">
      <c r="A6" t="s">
        <v>6</v>
      </c>
      <c r="B6" s="17">
        <v>15</v>
      </c>
      <c r="C6" t="s">
        <v>7</v>
      </c>
      <c r="E6" s="15" t="s">
        <v>38</v>
      </c>
    </row>
    <row r="7" spans="1:6" ht="13.5" x14ac:dyDescent="0.25">
      <c r="A7" t="s">
        <v>8</v>
      </c>
      <c r="B7" s="17">
        <v>10721.431916447313</v>
      </c>
      <c r="C7" t="s">
        <v>9</v>
      </c>
      <c r="E7" s="15" t="s">
        <v>39</v>
      </c>
    </row>
    <row r="8" spans="1:6" ht="13.5" x14ac:dyDescent="0.25">
      <c r="A8" t="s">
        <v>10</v>
      </c>
      <c r="B8" s="17">
        <v>55</v>
      </c>
      <c r="C8" t="s">
        <v>11</v>
      </c>
      <c r="E8" s="15" t="s">
        <v>40</v>
      </c>
    </row>
    <row r="9" spans="1:6" ht="13.5" x14ac:dyDescent="0.25">
      <c r="A9" t="s">
        <v>12</v>
      </c>
      <c r="B9" s="19">
        <v>80000</v>
      </c>
      <c r="C9" t="s">
        <v>13</v>
      </c>
      <c r="E9" s="15" t="s">
        <v>41</v>
      </c>
    </row>
    <row r="10" spans="1:6" ht="13.5" x14ac:dyDescent="0.25">
      <c r="A10" t="s">
        <v>14</v>
      </c>
      <c r="B10" s="18">
        <v>3.8461538461538464E-2</v>
      </c>
      <c r="C10" t="s">
        <v>15</v>
      </c>
      <c r="E10" s="15" t="s">
        <v>42</v>
      </c>
    </row>
    <row r="11" spans="1:6" ht="13.5" x14ac:dyDescent="0.25">
      <c r="A11" t="s">
        <v>16</v>
      </c>
      <c r="B11" s="17">
        <v>2</v>
      </c>
      <c r="C11" t="s">
        <v>17</v>
      </c>
      <c r="E11" s="15" t="s">
        <v>43</v>
      </c>
    </row>
    <row r="12" spans="1:6" ht="13.5" x14ac:dyDescent="0.25">
      <c r="A12" t="s">
        <v>18</v>
      </c>
      <c r="B12" s="17">
        <v>0.3</v>
      </c>
      <c r="C12" t="s">
        <v>19</v>
      </c>
      <c r="E12" s="15" t="s">
        <v>44</v>
      </c>
    </row>
    <row r="13" spans="1:6" ht="13.5" x14ac:dyDescent="0.25">
      <c r="E13" s="15" t="s">
        <v>45</v>
      </c>
    </row>
    <row r="14" spans="1:6" ht="15.75" x14ac:dyDescent="0.25">
      <c r="A14" s="6" t="s">
        <v>20</v>
      </c>
      <c r="B14" s="7"/>
      <c r="C14" s="7"/>
      <c r="E14" s="15" t="s">
        <v>46</v>
      </c>
    </row>
    <row r="15" spans="1:6" ht="13.5" x14ac:dyDescent="0.25">
      <c r="A15" t="s">
        <v>21</v>
      </c>
      <c r="B15" s="8">
        <v>200000</v>
      </c>
      <c r="E15" s="15"/>
    </row>
    <row r="16" spans="1:6" ht="13.5" x14ac:dyDescent="0.25">
      <c r="A16" t="s">
        <v>22</v>
      </c>
      <c r="B16" s="8">
        <v>15000</v>
      </c>
      <c r="E16" s="15" t="s">
        <v>47</v>
      </c>
    </row>
    <row r="17" spans="1:5" ht="13.5" x14ac:dyDescent="0.25">
      <c r="A17" t="s">
        <v>23</v>
      </c>
      <c r="B17" s="9">
        <v>0.15</v>
      </c>
      <c r="E17" s="15" t="s">
        <v>48</v>
      </c>
    </row>
    <row r="18" spans="1:5" ht="13.5" x14ac:dyDescent="0.25">
      <c r="E18" s="15"/>
    </row>
    <row r="19" spans="1:5" ht="15.75" x14ac:dyDescent="0.25">
      <c r="A19" s="10" t="s">
        <v>24</v>
      </c>
      <c r="B19" s="11"/>
      <c r="C19" s="11"/>
      <c r="E19" s="15" t="s">
        <v>49</v>
      </c>
    </row>
    <row r="20" spans="1:5" ht="13.5" x14ac:dyDescent="0.25">
      <c r="A20" t="s">
        <v>25</v>
      </c>
      <c r="B20" s="12">
        <f>B8 * (1 - B12 * B17)</f>
        <v>52.524999999999999</v>
      </c>
      <c r="E20" s="15" t="s">
        <v>50</v>
      </c>
    </row>
    <row r="21" spans="1:5" ht="13.5" x14ac:dyDescent="0.25">
      <c r="A21" t="s">
        <v>26</v>
      </c>
      <c r="B21" s="8">
        <f>B20 * B7</f>
        <v>563143.21141139511</v>
      </c>
      <c r="E21" s="15" t="s">
        <v>51</v>
      </c>
    </row>
    <row r="22" spans="1:5" ht="13.5" x14ac:dyDescent="0.25">
      <c r="A22" t="s">
        <v>27</v>
      </c>
      <c r="B22" s="8">
        <f>B6 * B7</f>
        <v>160821.4787467097</v>
      </c>
      <c r="E22" s="15" t="s">
        <v>52</v>
      </c>
    </row>
    <row r="23" spans="1:5" ht="13.5" x14ac:dyDescent="0.25">
      <c r="A23" t="s">
        <v>28</v>
      </c>
      <c r="B23" s="8">
        <f>B10 * B22 * 2</f>
        <v>12370.882980516131</v>
      </c>
      <c r="C23" s="1" t="s">
        <v>29</v>
      </c>
      <c r="E23" s="15" t="s">
        <v>53</v>
      </c>
    </row>
    <row r="24" spans="1:5" ht="13.5" x14ac:dyDescent="0.25">
      <c r="A24" t="s">
        <v>30</v>
      </c>
      <c r="B24" s="8">
        <f>B11 * B16</f>
        <v>30000</v>
      </c>
      <c r="E24" s="15" t="s">
        <v>54</v>
      </c>
    </row>
    <row r="25" spans="1:5" ht="13.5" x14ac:dyDescent="0.25">
      <c r="A25" s="2" t="s">
        <v>31</v>
      </c>
      <c r="B25" s="8">
        <f>B22 + B9 + B15 + B23 + B24</f>
        <v>483192.36172722583</v>
      </c>
      <c r="E25" s="15" t="s">
        <v>55</v>
      </c>
    </row>
    <row r="26" spans="1:5" ht="13.5" x14ac:dyDescent="0.25">
      <c r="E26" s="15" t="s">
        <v>56</v>
      </c>
    </row>
    <row r="27" spans="1:5" ht="15.75" x14ac:dyDescent="0.25">
      <c r="A27" s="13" t="s">
        <v>32</v>
      </c>
      <c r="B27" s="14"/>
      <c r="C27" s="14"/>
    </row>
    <row r="28" spans="1:5" ht="17.25" x14ac:dyDescent="0.3">
      <c r="A28" t="s">
        <v>33</v>
      </c>
      <c r="B28" s="20">
        <f>B21 - B25</f>
        <v>79950.849684169283</v>
      </c>
    </row>
    <row r="29" spans="1:5" ht="17.25" x14ac:dyDescent="0.3">
      <c r="A29" t="s">
        <v>34</v>
      </c>
      <c r="B29" s="21">
        <f>B28 / B25</f>
        <v>0.16546381113802361</v>
      </c>
    </row>
    <row r="30" spans="1:5" ht="17.25" x14ac:dyDescent="0.3">
      <c r="A30" t="s">
        <v>35</v>
      </c>
      <c r="B30" s="20">
        <f>(B9 + B15 + B24) / (B20 - B6)</f>
        <v>8261.159227181879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95E0A-AB09-42F7-8611-4201F96B1947}">
  <dimension ref="A1"/>
  <sheetViews>
    <sheetView workbookViewId="0"/>
  </sheetViews>
  <sheetFormatPr defaultRowHeight="12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FEA44-46EE-4DC9-BEFC-2E96467A889A}">
  <sheetPr>
    <tabColor rgb="FF3B82F6"/>
  </sheetPr>
  <dimension ref="A1:D46"/>
  <sheetViews>
    <sheetView workbookViewId="0"/>
  </sheetViews>
  <sheetFormatPr defaultRowHeight="12" x14ac:dyDescent="0.2"/>
  <cols>
    <col min="1" max="1" width="52.28515625" bestFit="1" customWidth="1"/>
    <col min="2" max="2" width="22.42578125" bestFit="1" customWidth="1"/>
    <col min="3" max="3" width="24.42578125" bestFit="1" customWidth="1"/>
    <col min="4" max="4" width="10.140625" bestFit="1" customWidth="1"/>
  </cols>
  <sheetData>
    <row r="1" spans="1:4" ht="21" x14ac:dyDescent="0.35">
      <c r="A1" s="16" t="s">
        <v>57</v>
      </c>
    </row>
    <row r="2" spans="1:4" ht="15.75" x14ac:dyDescent="0.25">
      <c r="A2" s="22" t="s">
        <v>58</v>
      </c>
    </row>
    <row r="3" spans="1:4" x14ac:dyDescent="0.2">
      <c r="A3" t="s">
        <v>59</v>
      </c>
      <c r="B3" t="s">
        <v>60</v>
      </c>
    </row>
    <row r="5" spans="1:4" ht="18.75" x14ac:dyDescent="0.3">
      <c r="A5" s="23" t="s">
        <v>61</v>
      </c>
      <c r="B5" s="24"/>
      <c r="C5" s="24"/>
      <c r="D5" s="24"/>
    </row>
    <row r="6" spans="1:4" x14ac:dyDescent="0.2">
      <c r="A6" s="25" t="s">
        <v>62</v>
      </c>
      <c r="B6" s="25" t="s">
        <v>63</v>
      </c>
    </row>
    <row r="7" spans="1:4" x14ac:dyDescent="0.2">
      <c r="A7" t="s">
        <v>64</v>
      </c>
      <c r="B7" s="8">
        <v>-45633.591617295977</v>
      </c>
    </row>
    <row r="8" spans="1:4" x14ac:dyDescent="0.2">
      <c r="A8" s="26" t="s">
        <v>65</v>
      </c>
      <c r="B8" s="27">
        <v>-70405.669457712385</v>
      </c>
    </row>
    <row r="9" spans="1:4" x14ac:dyDescent="0.2">
      <c r="A9" t="s">
        <v>66</v>
      </c>
      <c r="B9" s="8">
        <v>134256.93599994632</v>
      </c>
    </row>
    <row r="10" spans="1:4" x14ac:dyDescent="0.2">
      <c r="A10" s="26" t="s">
        <v>67</v>
      </c>
      <c r="B10" s="27">
        <v>18024924864.093685</v>
      </c>
    </row>
    <row r="11" spans="1:4" x14ac:dyDescent="0.2">
      <c r="A11" t="s">
        <v>68</v>
      </c>
      <c r="B11" s="8">
        <v>-327788.07269815181</v>
      </c>
    </row>
    <row r="12" spans="1:4" x14ac:dyDescent="0.2">
      <c r="A12" s="26" t="s">
        <v>69</v>
      </c>
      <c r="B12" s="27">
        <v>925080.02497914166</v>
      </c>
    </row>
    <row r="13" spans="1:4" x14ac:dyDescent="0.2">
      <c r="A13" t="s">
        <v>70</v>
      </c>
      <c r="B13" s="28">
        <v>1.3041462247573139</v>
      </c>
    </row>
    <row r="14" spans="1:4" x14ac:dyDescent="0.2">
      <c r="A14" s="26" t="s">
        <v>71</v>
      </c>
      <c r="B14" s="29">
        <v>3.1768447413114185</v>
      </c>
    </row>
    <row r="16" spans="1:4" ht="18.75" x14ac:dyDescent="0.3">
      <c r="A16" s="23" t="s">
        <v>72</v>
      </c>
      <c r="B16" s="24"/>
      <c r="C16" s="24"/>
      <c r="D16" s="24"/>
    </row>
    <row r="17" spans="1:4" x14ac:dyDescent="0.2">
      <c r="A17" s="25" t="s">
        <v>73</v>
      </c>
      <c r="B17" s="25" t="s">
        <v>63</v>
      </c>
    </row>
    <row r="18" spans="1:4" x14ac:dyDescent="0.2">
      <c r="A18" s="26" t="s">
        <v>74</v>
      </c>
      <c r="B18" s="27">
        <v>-258520.850631034</v>
      </c>
    </row>
    <row r="19" spans="1:4" x14ac:dyDescent="0.2">
      <c r="A19" t="s">
        <v>75</v>
      </c>
      <c r="B19" s="8">
        <v>-215498.24664480478</v>
      </c>
    </row>
    <row r="20" spans="1:4" x14ac:dyDescent="0.2">
      <c r="A20" s="26" t="s">
        <v>76</v>
      </c>
      <c r="B20" s="27">
        <v>-187914.98924327106</v>
      </c>
    </row>
    <row r="21" spans="1:4" x14ac:dyDescent="0.2">
      <c r="A21" t="s">
        <v>77</v>
      </c>
      <c r="B21" s="8">
        <v>-138436.55440709915</v>
      </c>
    </row>
    <row r="22" spans="1:4" x14ac:dyDescent="0.2">
      <c r="A22" s="26" t="s">
        <v>78</v>
      </c>
      <c r="B22" s="27">
        <v>-70405.669457712385</v>
      </c>
    </row>
    <row r="23" spans="1:4" x14ac:dyDescent="0.2">
      <c r="A23" t="s">
        <v>79</v>
      </c>
      <c r="B23" s="8">
        <v>19697.814235958343</v>
      </c>
    </row>
    <row r="24" spans="1:4" x14ac:dyDescent="0.2">
      <c r="A24" s="26" t="s">
        <v>80</v>
      </c>
      <c r="B24" s="27">
        <v>127625.69898171865</v>
      </c>
    </row>
    <row r="25" spans="1:4" x14ac:dyDescent="0.2">
      <c r="A25" t="s">
        <v>81</v>
      </c>
      <c r="B25" s="8">
        <v>210374.86818804356</v>
      </c>
    </row>
    <row r="26" spans="1:4" x14ac:dyDescent="0.2">
      <c r="A26" s="26" t="s">
        <v>82</v>
      </c>
      <c r="B26" s="27">
        <v>371543.33275390184</v>
      </c>
    </row>
    <row r="28" spans="1:4" ht="18.75" x14ac:dyDescent="0.3">
      <c r="A28" s="23" t="s">
        <v>83</v>
      </c>
      <c r="B28" s="24"/>
      <c r="C28" s="24"/>
      <c r="D28" s="24"/>
    </row>
    <row r="29" spans="1:4" x14ac:dyDescent="0.2">
      <c r="A29" s="25" t="s">
        <v>84</v>
      </c>
      <c r="B29" s="25" t="s">
        <v>85</v>
      </c>
      <c r="C29" s="25" t="s">
        <v>86</v>
      </c>
      <c r="D29" s="25" t="s">
        <v>87</v>
      </c>
    </row>
    <row r="30" spans="1:4" x14ac:dyDescent="0.2">
      <c r="A30" s="26" t="s">
        <v>8</v>
      </c>
      <c r="B30" s="32">
        <v>0.79295548112621927</v>
      </c>
      <c r="C30" s="27">
        <v>379168.09846502478</v>
      </c>
      <c r="D30" s="33">
        <v>0.68598689193502271</v>
      </c>
    </row>
    <row r="31" spans="1:4" x14ac:dyDescent="0.2">
      <c r="A31" t="s">
        <v>10</v>
      </c>
      <c r="B31" s="30">
        <v>0.35635523025420923</v>
      </c>
      <c r="C31" s="8">
        <v>164296.87625888357</v>
      </c>
      <c r="D31" s="31">
        <v>0.1385429660023092</v>
      </c>
    </row>
    <row r="32" spans="1:4" x14ac:dyDescent="0.2">
      <c r="A32" s="26" t="s">
        <v>18</v>
      </c>
      <c r="B32" s="32">
        <v>-0.25498572396856189</v>
      </c>
      <c r="C32" s="27">
        <v>71111.708391492066</v>
      </c>
      <c r="D32" s="33">
        <v>7.0933263010010891E-2</v>
      </c>
    </row>
    <row r="33" spans="1:4" x14ac:dyDescent="0.2">
      <c r="A33" t="s">
        <v>16</v>
      </c>
      <c r="B33" s="30">
        <v>-0.18430700489707785</v>
      </c>
      <c r="C33" s="8">
        <v>68441.328839607144</v>
      </c>
      <c r="D33" s="31">
        <v>3.7059699162448799E-2</v>
      </c>
    </row>
    <row r="34" spans="1:4" x14ac:dyDescent="0.2">
      <c r="A34" s="26" t="s">
        <v>6</v>
      </c>
      <c r="B34" s="32">
        <v>-0.16951487890859515</v>
      </c>
      <c r="C34" s="27">
        <v>81940.730041364644</v>
      </c>
      <c r="D34" s="33">
        <v>3.1349733535240072E-2</v>
      </c>
    </row>
    <row r="35" spans="1:4" x14ac:dyDescent="0.2">
      <c r="A35" t="s">
        <v>12</v>
      </c>
      <c r="B35" s="30">
        <v>-0.16817506810300273</v>
      </c>
      <c r="C35" s="8">
        <v>71606.032991691463</v>
      </c>
      <c r="D35" s="31">
        <v>3.0856128235143929E-2</v>
      </c>
    </row>
    <row r="36" spans="1:4" x14ac:dyDescent="0.2">
      <c r="A36" s="26" t="s">
        <v>14</v>
      </c>
      <c r="B36" s="32">
        <v>-6.9510515612420623E-2</v>
      </c>
      <c r="C36" s="27">
        <v>31904.761893440678</v>
      </c>
      <c r="D36" s="33">
        <v>5.2713181198246143E-3</v>
      </c>
    </row>
    <row r="38" spans="1:4" ht="18.75" x14ac:dyDescent="0.3">
      <c r="A38" s="23" t="s">
        <v>88</v>
      </c>
      <c r="B38" s="24"/>
      <c r="C38" s="24"/>
      <c r="D38" s="24"/>
    </row>
    <row r="39" spans="1:4" x14ac:dyDescent="0.2">
      <c r="A39" s="25" t="s">
        <v>84</v>
      </c>
      <c r="B39" s="25" t="s">
        <v>89</v>
      </c>
      <c r="C39" s="25" t="s">
        <v>5</v>
      </c>
    </row>
    <row r="40" spans="1:4" x14ac:dyDescent="0.2">
      <c r="A40" s="26" t="s">
        <v>6</v>
      </c>
      <c r="B40" s="26" t="s">
        <v>90</v>
      </c>
      <c r="C40" s="26" t="s">
        <v>7</v>
      </c>
    </row>
    <row r="41" spans="1:4" x14ac:dyDescent="0.2">
      <c r="A41" t="s">
        <v>10</v>
      </c>
      <c r="B41" t="s">
        <v>91</v>
      </c>
      <c r="C41" t="s">
        <v>92</v>
      </c>
    </row>
    <row r="42" spans="1:4" x14ac:dyDescent="0.2">
      <c r="A42" s="26" t="s">
        <v>18</v>
      </c>
      <c r="B42" s="26" t="s">
        <v>93</v>
      </c>
      <c r="C42" s="26" t="s">
        <v>94</v>
      </c>
    </row>
    <row r="43" spans="1:4" x14ac:dyDescent="0.2">
      <c r="A43" t="s">
        <v>16</v>
      </c>
      <c r="B43" t="s">
        <v>95</v>
      </c>
      <c r="C43" t="s">
        <v>96</v>
      </c>
    </row>
    <row r="44" spans="1:4" x14ac:dyDescent="0.2">
      <c r="A44" s="26" t="s">
        <v>8</v>
      </c>
      <c r="B44" s="26" t="s">
        <v>97</v>
      </c>
      <c r="C44" s="26" t="s">
        <v>98</v>
      </c>
    </row>
    <row r="45" spans="1:4" x14ac:dyDescent="0.2">
      <c r="A45" t="s">
        <v>14</v>
      </c>
      <c r="B45" t="s">
        <v>99</v>
      </c>
      <c r="C45" t="s">
        <v>100</v>
      </c>
    </row>
    <row r="46" spans="1:4" x14ac:dyDescent="0.2">
      <c r="A46" s="26" t="s">
        <v>12</v>
      </c>
      <c r="B46" s="26" t="s">
        <v>101</v>
      </c>
      <c r="C46" s="26" t="s">
        <v>102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396A9-7C70-499E-B712-32D3A00A667E}">
  <sheetPr>
    <tabColor rgb="FF3B82F6"/>
  </sheetPr>
  <dimension ref="A1:AF51"/>
  <sheetViews>
    <sheetView tabSelected="1" workbookViewId="0">
      <selection activeCell="O11" sqref="O11"/>
    </sheetView>
  </sheetViews>
  <sheetFormatPr defaultRowHeight="12" x14ac:dyDescent="0.2"/>
  <cols>
    <col min="1" max="1" width="52.28515625" bestFit="1" customWidth="1"/>
    <col min="2" max="2" width="22.42578125" bestFit="1" customWidth="1"/>
    <col min="3" max="3" width="24.42578125" bestFit="1" customWidth="1"/>
    <col min="4" max="4" width="10.140625" bestFit="1" customWidth="1"/>
  </cols>
  <sheetData>
    <row r="1" spans="1:32" ht="21" x14ac:dyDescent="0.35">
      <c r="A1" s="16" t="s">
        <v>57</v>
      </c>
      <c r="AA1" t="s">
        <v>103</v>
      </c>
      <c r="AB1" t="s">
        <v>104</v>
      </c>
      <c r="AD1" t="s">
        <v>84</v>
      </c>
      <c r="AE1" t="s">
        <v>105</v>
      </c>
      <c r="AF1" t="s">
        <v>106</v>
      </c>
    </row>
    <row r="2" spans="1:32" ht="15.75" x14ac:dyDescent="0.25">
      <c r="A2" s="22" t="s">
        <v>58</v>
      </c>
      <c r="AA2">
        <v>-288394.46390262153</v>
      </c>
      <c r="AB2">
        <v>3.2000000000000002E-3</v>
      </c>
      <c r="AD2" t="s">
        <v>14</v>
      </c>
      <c r="AE2">
        <v>43489.202695485619</v>
      </c>
      <c r="AF2">
        <v>9491.912847061707</v>
      </c>
    </row>
    <row r="3" spans="1:32" x14ac:dyDescent="0.2">
      <c r="A3" t="s">
        <v>59</v>
      </c>
      <c r="B3" t="s">
        <v>60</v>
      </c>
      <c r="AA3">
        <v>-263347.24196587235</v>
      </c>
      <c r="AB3">
        <v>9.7999999999999997E-3</v>
      </c>
      <c r="AD3" t="s">
        <v>16</v>
      </c>
      <c r="AE3">
        <v>43840.743281677729</v>
      </c>
      <c r="AF3">
        <v>-8611.4666470377124</v>
      </c>
    </row>
    <row r="4" spans="1:32" x14ac:dyDescent="0.2">
      <c r="AA4">
        <v>-238300.02002912312</v>
      </c>
      <c r="AB4">
        <v>2.0400000000000001E-2</v>
      </c>
      <c r="AD4" t="s">
        <v>12</v>
      </c>
      <c r="AE4">
        <v>48749.950121117916</v>
      </c>
      <c r="AF4">
        <v>-18121.598763323811</v>
      </c>
    </row>
    <row r="5" spans="1:32" ht="18.75" x14ac:dyDescent="0.3">
      <c r="A5" s="23" t="s">
        <v>61</v>
      </c>
      <c r="B5" s="24"/>
      <c r="C5" s="24"/>
      <c r="D5" s="24"/>
      <c r="AA5">
        <v>-213252.79809237388</v>
      </c>
      <c r="AB5">
        <v>4.2599999999999999E-2</v>
      </c>
      <c r="AD5" t="s">
        <v>6</v>
      </c>
      <c r="AE5">
        <v>55760.680715506562</v>
      </c>
      <c r="AF5">
        <v>-12481.589280487315</v>
      </c>
    </row>
    <row r="6" spans="1:32" x14ac:dyDescent="0.2">
      <c r="A6" s="25" t="s">
        <v>62</v>
      </c>
      <c r="B6" s="25" t="s">
        <v>63</v>
      </c>
      <c r="AA6">
        <v>-188205.57615562464</v>
      </c>
      <c r="AB6">
        <v>5.9400000000000001E-2</v>
      </c>
      <c r="AD6" t="s">
        <v>18</v>
      </c>
      <c r="AE6">
        <v>49135.567208000924</v>
      </c>
      <c r="AF6">
        <v>-22273.370521482604</v>
      </c>
    </row>
    <row r="7" spans="1:32" x14ac:dyDescent="0.2">
      <c r="A7" t="s">
        <v>64</v>
      </c>
      <c r="B7" s="8">
        <v>-44943.777159962214</v>
      </c>
      <c r="AA7">
        <v>-163158.35421887541</v>
      </c>
      <c r="AB7">
        <v>7.6200000000000004E-2</v>
      </c>
      <c r="AD7" t="s">
        <v>10</v>
      </c>
      <c r="AE7">
        <v>-63016.722614992206</v>
      </c>
      <c r="AF7">
        <v>104318.68343506276</v>
      </c>
    </row>
    <row r="8" spans="1:32" x14ac:dyDescent="0.2">
      <c r="A8" s="26" t="s">
        <v>65</v>
      </c>
      <c r="B8" s="27">
        <v>-69777.648264224204</v>
      </c>
      <c r="AA8">
        <v>-138111.1322821262</v>
      </c>
      <c r="AB8">
        <v>8.2600000000000007E-2</v>
      </c>
      <c r="AD8" t="s">
        <v>8</v>
      </c>
      <c r="AE8">
        <v>-116061.43867185959</v>
      </c>
      <c r="AF8">
        <v>265478.14778783626</v>
      </c>
    </row>
    <row r="9" spans="1:32" x14ac:dyDescent="0.2">
      <c r="A9" t="s">
        <v>66</v>
      </c>
      <c r="B9" s="8">
        <v>135723.23195916024</v>
      </c>
      <c r="AA9">
        <v>-113063.91034537696</v>
      </c>
      <c r="AB9">
        <v>9.3200000000000005E-2</v>
      </c>
    </row>
    <row r="10" spans="1:32" x14ac:dyDescent="0.2">
      <c r="A10" s="26" t="s">
        <v>67</v>
      </c>
      <c r="B10" s="27">
        <v>18420795693.440018</v>
      </c>
      <c r="AA10">
        <v>-88016.688408627728</v>
      </c>
      <c r="AB10">
        <v>9.4200000000000006E-2</v>
      </c>
    </row>
    <row r="11" spans="1:32" x14ac:dyDescent="0.2">
      <c r="A11" t="s">
        <v>68</v>
      </c>
      <c r="B11" s="8">
        <v>-300918.07487099618</v>
      </c>
      <c r="AA11">
        <v>-62969.466471878492</v>
      </c>
      <c r="AB11">
        <v>7.8600000000000003E-2</v>
      </c>
    </row>
    <row r="12" spans="1:32" x14ac:dyDescent="0.2">
      <c r="A12" s="26" t="s">
        <v>69</v>
      </c>
      <c r="B12" s="27">
        <v>951443.0219664654</v>
      </c>
      <c r="AA12">
        <v>-37922.244535129255</v>
      </c>
      <c r="AB12">
        <v>7.7200000000000005E-2</v>
      </c>
    </row>
    <row r="13" spans="1:32" x14ac:dyDescent="0.2">
      <c r="A13" t="s">
        <v>70</v>
      </c>
      <c r="B13" s="28">
        <v>1.4378010443869675</v>
      </c>
      <c r="AA13">
        <v>-12875.022598380048</v>
      </c>
      <c r="AB13">
        <v>6.5600000000000006E-2</v>
      </c>
    </row>
    <row r="14" spans="1:32" x14ac:dyDescent="0.2">
      <c r="A14" s="26" t="s">
        <v>71</v>
      </c>
      <c r="B14" s="29">
        <v>4.1335101804052981</v>
      </c>
      <c r="AA14">
        <v>12172.199338369159</v>
      </c>
      <c r="AB14">
        <v>0.06</v>
      </c>
    </row>
    <row r="15" spans="1:32" x14ac:dyDescent="0.2">
      <c r="AA15">
        <v>37219.421275118395</v>
      </c>
      <c r="AB15">
        <v>3.8399999999999997E-2</v>
      </c>
    </row>
    <row r="16" spans="1:32" ht="18.75" x14ac:dyDescent="0.3">
      <c r="A16" s="23" t="s">
        <v>72</v>
      </c>
      <c r="B16" s="24"/>
      <c r="C16" s="24"/>
      <c r="D16" s="24"/>
      <c r="AA16">
        <v>62266.643211867631</v>
      </c>
      <c r="AB16">
        <v>3.8800000000000001E-2</v>
      </c>
    </row>
    <row r="17" spans="1:28" x14ac:dyDescent="0.2">
      <c r="A17" s="25" t="s">
        <v>73</v>
      </c>
      <c r="B17" s="25" t="s">
        <v>63</v>
      </c>
      <c r="AA17">
        <v>87313.865148616867</v>
      </c>
      <c r="AB17">
        <v>2.98E-2</v>
      </c>
    </row>
    <row r="18" spans="1:28" x14ac:dyDescent="0.2">
      <c r="A18" s="26" t="s">
        <v>74</v>
      </c>
      <c r="B18" s="27">
        <v>-258370.62867506244</v>
      </c>
      <c r="AA18">
        <v>112361.0870853661</v>
      </c>
      <c r="AB18">
        <v>2.64E-2</v>
      </c>
    </row>
    <row r="19" spans="1:28" x14ac:dyDescent="0.2">
      <c r="A19" t="s">
        <v>75</v>
      </c>
      <c r="B19" s="8">
        <v>-213555.51374822253</v>
      </c>
      <c r="AA19">
        <v>137408.30902211534</v>
      </c>
      <c r="AB19">
        <v>1.9E-2</v>
      </c>
    </row>
    <row r="20" spans="1:28" x14ac:dyDescent="0.2">
      <c r="A20" s="26" t="s">
        <v>76</v>
      </c>
      <c r="B20" s="27">
        <v>-189674.63388576766</v>
      </c>
      <c r="AA20">
        <v>162455.53095886458</v>
      </c>
      <c r="AB20">
        <v>1.5599999999999999E-2</v>
      </c>
    </row>
    <row r="21" spans="1:28" x14ac:dyDescent="0.2">
      <c r="A21" t="s">
        <v>77</v>
      </c>
      <c r="B21" s="8">
        <v>-138804.81572120718</v>
      </c>
      <c r="AA21">
        <v>187502.75289561381</v>
      </c>
      <c r="AB21">
        <v>1.6199999999999999E-2</v>
      </c>
    </row>
    <row r="22" spans="1:28" x14ac:dyDescent="0.2">
      <c r="A22" s="26" t="s">
        <v>78</v>
      </c>
      <c r="B22" s="27">
        <v>-69777.648264224204</v>
      </c>
      <c r="AA22">
        <v>212549.97483236302</v>
      </c>
      <c r="AB22">
        <v>1.2200000000000001E-2</v>
      </c>
    </row>
    <row r="23" spans="1:28" x14ac:dyDescent="0.2">
      <c r="A23" t="s">
        <v>79</v>
      </c>
      <c r="B23" s="8">
        <v>18386.249207971559</v>
      </c>
      <c r="AA23">
        <v>237597.19676911226</v>
      </c>
      <c r="AB23">
        <v>8.9999999999999993E-3</v>
      </c>
    </row>
    <row r="24" spans="1:28" x14ac:dyDescent="0.2">
      <c r="A24" s="26" t="s">
        <v>80</v>
      </c>
      <c r="B24" s="27">
        <v>128300.84459139135</v>
      </c>
      <c r="AA24">
        <v>262644.41870586149</v>
      </c>
      <c r="AB24">
        <v>6.1999999999999998E-3</v>
      </c>
    </row>
    <row r="25" spans="1:28" x14ac:dyDescent="0.2">
      <c r="A25" t="s">
        <v>81</v>
      </c>
      <c r="B25" s="8">
        <v>205700.73600518837</v>
      </c>
      <c r="AA25">
        <v>287691.64064261067</v>
      </c>
      <c r="AB25">
        <v>4.1999999999999997E-3</v>
      </c>
    </row>
    <row r="26" spans="1:28" x14ac:dyDescent="0.2">
      <c r="A26" s="26" t="s">
        <v>82</v>
      </c>
      <c r="B26" s="27">
        <v>390037.01291265443</v>
      </c>
      <c r="AA26">
        <v>312738.86257935991</v>
      </c>
      <c r="AB26">
        <v>4.0000000000000001E-3</v>
      </c>
    </row>
    <row r="27" spans="1:28" x14ac:dyDescent="0.2">
      <c r="AA27">
        <v>337786.08451610914</v>
      </c>
      <c r="AB27">
        <v>2.8E-3</v>
      </c>
    </row>
    <row r="28" spans="1:28" ht="18.75" x14ac:dyDescent="0.3">
      <c r="A28" s="23" t="s">
        <v>83</v>
      </c>
      <c r="B28" s="24"/>
      <c r="C28" s="24"/>
      <c r="D28" s="24"/>
      <c r="AA28">
        <v>362833.30645285838</v>
      </c>
      <c r="AB28">
        <v>3.2000000000000002E-3</v>
      </c>
    </row>
    <row r="29" spans="1:28" x14ac:dyDescent="0.2">
      <c r="A29" s="25" t="s">
        <v>84</v>
      </c>
      <c r="B29" s="25" t="s">
        <v>85</v>
      </c>
      <c r="C29" s="25" t="s">
        <v>86</v>
      </c>
      <c r="D29" s="25" t="s">
        <v>87</v>
      </c>
      <c r="AA29">
        <v>387880.52838960761</v>
      </c>
      <c r="AB29">
        <v>1.8E-3</v>
      </c>
    </row>
    <row r="30" spans="1:28" x14ac:dyDescent="0.2">
      <c r="A30" s="26" t="s">
        <v>8</v>
      </c>
      <c r="B30" s="32">
        <v>0.79395662350226492</v>
      </c>
      <c r="C30" s="27">
        <v>381539.58645969589</v>
      </c>
      <c r="D30" s="33">
        <v>0.68570835893241944</v>
      </c>
      <c r="AA30">
        <v>412927.75032635685</v>
      </c>
      <c r="AB30">
        <v>1.6000000000000001E-3</v>
      </c>
    </row>
    <row r="31" spans="1:28" x14ac:dyDescent="0.2">
      <c r="A31" t="s">
        <v>10</v>
      </c>
      <c r="B31" s="30">
        <v>0.36629019778760791</v>
      </c>
      <c r="C31" s="8">
        <v>167335.40605005497</v>
      </c>
      <c r="D31" s="31">
        <v>0.14594744110878027</v>
      </c>
      <c r="AA31">
        <v>437974.97226310609</v>
      </c>
      <c r="AB31">
        <v>1.1999999999999999E-3</v>
      </c>
    </row>
    <row r="32" spans="1:28" x14ac:dyDescent="0.2">
      <c r="A32" s="26" t="s">
        <v>18</v>
      </c>
      <c r="B32" s="32">
        <v>-0.27432601525346068</v>
      </c>
      <c r="C32" s="27">
        <v>71408.937729483529</v>
      </c>
      <c r="D32" s="33">
        <v>8.1861534584462672E-2</v>
      </c>
      <c r="AA32">
        <v>463022.19419985532</v>
      </c>
      <c r="AB32">
        <v>1.1999999999999999E-3</v>
      </c>
    </row>
    <row r="33" spans="1:28" x14ac:dyDescent="0.2">
      <c r="A33" t="s">
        <v>6</v>
      </c>
      <c r="B33" s="30">
        <v>-0.17898059688722387</v>
      </c>
      <c r="C33" s="8">
        <v>68242.269995993876</v>
      </c>
      <c r="D33" s="31">
        <v>3.4846390212692445E-2</v>
      </c>
      <c r="AA33">
        <v>488069.41613660456</v>
      </c>
      <c r="AB33">
        <v>4.0000000000000002E-4</v>
      </c>
    </row>
    <row r="34" spans="1:28" x14ac:dyDescent="0.2">
      <c r="A34" s="26" t="s">
        <v>12</v>
      </c>
      <c r="B34" s="32">
        <v>-0.15215859181434369</v>
      </c>
      <c r="C34" s="27">
        <v>66871.548884441727</v>
      </c>
      <c r="D34" s="33">
        <v>2.5184820048916076E-2</v>
      </c>
      <c r="AA34">
        <v>513116.63807335374</v>
      </c>
      <c r="AB34">
        <v>8.0000000000000004E-4</v>
      </c>
    </row>
    <row r="35" spans="1:28" x14ac:dyDescent="0.2">
      <c r="A35" t="s">
        <v>16</v>
      </c>
      <c r="B35" s="30">
        <v>-0.14235193154300302</v>
      </c>
      <c r="C35" s="8">
        <v>52452.209928715441</v>
      </c>
      <c r="D35" s="31">
        <v>2.2043097425892499E-2</v>
      </c>
      <c r="AA35">
        <v>538163.86001010297</v>
      </c>
      <c r="AB35">
        <v>5.9999999999999995E-4</v>
      </c>
    </row>
    <row r="36" spans="1:28" x14ac:dyDescent="0.2">
      <c r="A36" s="26" t="s">
        <v>14</v>
      </c>
      <c r="B36" s="32">
        <v>-6.365982888239316E-2</v>
      </c>
      <c r="C36" s="27">
        <v>33997.289848423912</v>
      </c>
      <c r="D36" s="33">
        <v>4.4083576868366716E-3</v>
      </c>
      <c r="AA36">
        <v>563211.08194685215</v>
      </c>
      <c r="AB36">
        <v>2.0000000000000001E-4</v>
      </c>
    </row>
    <row r="37" spans="1:28" x14ac:dyDescent="0.2">
      <c r="AA37">
        <v>588258.30388360145</v>
      </c>
      <c r="AB37">
        <v>8.0000000000000004E-4</v>
      </c>
    </row>
    <row r="38" spans="1:28" ht="18.75" x14ac:dyDescent="0.3">
      <c r="A38" s="23" t="s">
        <v>88</v>
      </c>
      <c r="B38" s="24"/>
      <c r="C38" s="24"/>
      <c r="D38" s="24"/>
      <c r="AA38">
        <v>613305.52582035074</v>
      </c>
      <c r="AB38">
        <v>4.0000000000000002E-4</v>
      </c>
    </row>
    <row r="39" spans="1:28" x14ac:dyDescent="0.2">
      <c r="A39" s="25" t="s">
        <v>84</v>
      </c>
      <c r="B39" s="25" t="s">
        <v>89</v>
      </c>
      <c r="C39" s="25" t="s">
        <v>5</v>
      </c>
      <c r="AA39">
        <v>638352.74775709992</v>
      </c>
      <c r="AB39">
        <v>2.0000000000000001E-4</v>
      </c>
    </row>
    <row r="40" spans="1:28" x14ac:dyDescent="0.2">
      <c r="A40" s="26" t="s">
        <v>6</v>
      </c>
      <c r="B40" s="26" t="s">
        <v>90</v>
      </c>
      <c r="C40" s="26" t="s">
        <v>7</v>
      </c>
      <c r="AA40">
        <v>663399.9696938491</v>
      </c>
      <c r="AB40">
        <v>2.0000000000000001E-4</v>
      </c>
    </row>
    <row r="41" spans="1:28" x14ac:dyDescent="0.2">
      <c r="A41" t="s">
        <v>10</v>
      </c>
      <c r="B41" t="s">
        <v>91</v>
      </c>
      <c r="C41" t="s">
        <v>92</v>
      </c>
      <c r="AA41">
        <v>688447.19163059839</v>
      </c>
      <c r="AB41">
        <v>4.0000000000000002E-4</v>
      </c>
    </row>
    <row r="42" spans="1:28" x14ac:dyDescent="0.2">
      <c r="A42" s="26" t="s">
        <v>18</v>
      </c>
      <c r="B42" s="26" t="s">
        <v>93</v>
      </c>
      <c r="C42" s="26" t="s">
        <v>94</v>
      </c>
      <c r="AA42">
        <v>713494.41356734768</v>
      </c>
      <c r="AB42">
        <v>2.0000000000000001E-4</v>
      </c>
    </row>
    <row r="43" spans="1:28" x14ac:dyDescent="0.2">
      <c r="A43" t="s">
        <v>16</v>
      </c>
      <c r="B43" t="s">
        <v>95</v>
      </c>
      <c r="C43" t="s">
        <v>96</v>
      </c>
      <c r="AA43">
        <v>738541.63550409675</v>
      </c>
      <c r="AB43">
        <v>2.0000000000000001E-4</v>
      </c>
    </row>
    <row r="44" spans="1:28" x14ac:dyDescent="0.2">
      <c r="A44" s="26" t="s">
        <v>8</v>
      </c>
      <c r="B44" s="26" t="s">
        <v>97</v>
      </c>
      <c r="C44" s="26" t="s">
        <v>98</v>
      </c>
      <c r="AA44">
        <v>763588.85744084604</v>
      </c>
      <c r="AB44">
        <v>4.0000000000000002E-4</v>
      </c>
    </row>
    <row r="45" spans="1:28" x14ac:dyDescent="0.2">
      <c r="A45" t="s">
        <v>14</v>
      </c>
      <c r="B45" t="s">
        <v>99</v>
      </c>
      <c r="C45" t="s">
        <v>100</v>
      </c>
      <c r="AA45">
        <v>788636.07937759534</v>
      </c>
      <c r="AB45">
        <v>0</v>
      </c>
    </row>
    <row r="46" spans="1:28" x14ac:dyDescent="0.2">
      <c r="A46" s="26" t="s">
        <v>12</v>
      </c>
      <c r="B46" s="26" t="s">
        <v>101</v>
      </c>
      <c r="C46" s="26" t="s">
        <v>102</v>
      </c>
      <c r="AA46">
        <v>813683.30131434451</v>
      </c>
      <c r="AB46">
        <v>0</v>
      </c>
    </row>
    <row r="47" spans="1:28" x14ac:dyDescent="0.2">
      <c r="AA47">
        <v>838730.52325109369</v>
      </c>
      <c r="AB47">
        <v>0</v>
      </c>
    </row>
    <row r="48" spans="1:28" x14ac:dyDescent="0.2">
      <c r="AA48">
        <v>863777.74518784299</v>
      </c>
      <c r="AB48">
        <v>2.0000000000000001E-4</v>
      </c>
    </row>
    <row r="49" spans="27:28" x14ac:dyDescent="0.2">
      <c r="AA49">
        <v>888824.96712459216</v>
      </c>
      <c r="AB49">
        <v>0</v>
      </c>
    </row>
    <row r="50" spans="27:28" x14ac:dyDescent="0.2">
      <c r="AA50">
        <v>913872.18906134134</v>
      </c>
      <c r="AB50">
        <v>2.0000000000000001E-4</v>
      </c>
    </row>
    <row r="51" spans="27:28" x14ac:dyDescent="0.2">
      <c r="AA51">
        <v>938919.41099809064</v>
      </c>
      <c r="AB51">
        <v>2.0000000000000001E-4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MonteCarloConfig xmlns="urn:montecarlo-xl:config:v1">
  <Profile name="Default"><![CDATA[{
  "name": "Default",
  "iterationCount": 5000,
  "randomSeed": null,
  "inputs": [
    {
      "sheetName": "Product Launch Model",
      "cellAddress": "B6",
      "label": "Unit Mfg Cost ($)",
      "distributionName": "Triangular",
      "parameters": {
        "min": 12,
        "mode": 15,
        "max": 22
      }
    },
    {
      "sheetName": "Product Launch Model",
      "cellAddress": "B8",
      "label": "Selling Price ($)",
      "distributionName": "Normal",
      "parameters": {
        "mean": 45,
        "stdDev": 5
      }
    },
    {
      "sheetName": "Product Launch Model",
      "cellAddress": "B12",
      "label": "Competitor Enters? (0/1)",
      "distributionName": "Binomial",
      "parameters": {
        "n": 1,
        "p": 0.3
      }
    },
    {
      "sheetName": "Product Launch Model",
      "cellAddress": "B11",
      "label": "Dev Delay (months)",
      "distributionName": "Poisson",
      "parameters": {
        "lambda": 2
      }
    },
    {
      "sheetName": "Product Launch Model",
      "cellAddress": "B7",
      "label": "Units Sold (Year 1)",
      "distributionName": "Lognormal",
      "parameters": {
        "mu": 9.2,
        "sigma": 0.4
      }
    },
    {
      "sheetName": "Product Launch Model",
      "cellAddress": "B10",
      "label": "Defect Rate",
      "distributionName": "Beta",
      "parameters": {
        "alpha": 2,
        "beta": 50
      }
    },
    {
      "sheetName": "Product Launch Model",
      "cellAddress": "B9",
      "label": "Marketing Spend ($)",
      "distributionName": "PERT",
      "parameters": {
        "min": 50000,
        "mode": 80000,
        "max": 150000
      }
    }
  ],
  "outputs": [
    {
      "sheetName": "Product Launch Model",
      "cellAddress": "B28",
      "label": "Net Profit ($)"
    },
    {
      "sheetName": "Product Launch Model",
      "cellAddress": "B30",
      "label": "Break-Even Units"
    },
    {
      "sheetName": "Product Launch Model",
      "cellAddress": "B29",
      "label": "ROI (%)"
    }
  ],
  "correlationMatrix": null,
  "correlationMatrixSize": 0
}]]></Profile>
</MonteCarloConfig>
</file>

<file path=customXml/itemProps1.xml><?xml version="1.0" encoding="utf-8"?>
<ds:datastoreItem xmlns:ds="http://schemas.openxmlformats.org/officeDocument/2006/customXml" ds:itemID="{FAC7D55A-E610-4AC5-B851-01F3443A032C}">
  <ds:schemaRefs>
    <ds:schemaRef ds:uri="urn:montecarlo-xl:config:v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 Launch Model</vt:lpstr>
      <vt:lpstr>Sheet2</vt:lpstr>
      <vt:lpstr>MC Results — Net Profit ($)</vt:lpstr>
      <vt:lpstr>MC Results — Net Profit ($)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Miller</dc:creator>
  <cp:lastModifiedBy>Ryan Miller</cp:lastModifiedBy>
  <dcterms:created xsi:type="dcterms:W3CDTF">2026-04-18T22:06:54Z</dcterms:created>
  <dcterms:modified xsi:type="dcterms:W3CDTF">2026-04-19T18:50:37Z</dcterms:modified>
</cp:coreProperties>
</file>