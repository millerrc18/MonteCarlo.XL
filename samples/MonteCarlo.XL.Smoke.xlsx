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2453df3e28d0d9/04 - Projects/MonteCarlo.XL/samples/"/>
    </mc:Choice>
  </mc:AlternateContent>
  <xr:revisionPtr revIDLastSave="181358" documentId="8_{5A2D3006-CF76-4C63-8235-26BC8D4E3115}" xr6:coauthVersionLast="47" xr6:coauthVersionMax="47" xr10:uidLastSave="{3F050BD5-63ED-4BE4-8D48-4F39CEE2FA99}"/>
  <bookViews>
    <workbookView xWindow="28680" yWindow="-120" windowWidth="29040" windowHeight="15720" activeTab="2" xr2:uid="{DF7204DA-73BD-4C33-8E74-073C251729A7}"/>
  </bookViews>
  <sheets>
    <sheet name="Smoke Model" sheetId="1" r:id="rId1"/>
    <sheet name="Sheet2" sheetId="2" r:id="rId2"/>
    <sheet name="MC Results — Profit" sheetId="4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<sst xmlns="http://schemas.openxmlformats.org/spreadsheetml/2006/main" count="62" uniqueCount="51">
  <si>
    <t>MonteCarlo.XL Smoke Model</t>
  </si>
  <si>
    <t>Input</t>
  </si>
  <si>
    <t>Value</t>
  </si>
  <si>
    <t>Distribution</t>
  </si>
  <si>
    <t>Units</t>
  </si>
  <si>
    <t>MC.Normal(100,10)</t>
  </si>
  <si>
    <t>Price</t>
  </si>
  <si>
    <t>MC.Triangular(900,1000,1200)</t>
  </si>
  <si>
    <t>Variable Cost</t>
  </si>
  <si>
    <t>MC.PERT(450,600,800)</t>
  </si>
  <si>
    <t>Fixed Costs</t>
  </si>
  <si>
    <t>Fixed</t>
  </si>
  <si>
    <t>Profit</t>
  </si>
  <si>
    <t>Output cell to tag</t>
  </si>
  <si>
    <t>Smoke steps</t>
  </si>
  <si>
    <t>1. Load MonteCarlo.XL.</t>
  </si>
  <si>
    <t>2. Add B9 as an output.</t>
  </si>
  <si>
    <t>3. Run 1,000 iterations.</t>
  </si>
  <si>
    <t>4. Confirm results appear.</t>
  </si>
  <si>
    <t>MonteCarlo.XL Simulation Results</t>
  </si>
  <si>
    <t>Output: Profit</t>
  </si>
  <si>
    <t>Iterations: 5,000</t>
  </si>
  <si>
    <t>Date: 2026-04-18</t>
  </si>
  <si>
    <t>SUMMARY STATISTICS</t>
  </si>
  <si>
    <t>Statistic</t>
  </si>
  <si>
    <t>Mean</t>
  </si>
  <si>
    <t>Median</t>
  </si>
  <si>
    <t>Std Dev</t>
  </si>
  <si>
    <t>Variance</t>
  </si>
  <si>
    <t>Minimum</t>
  </si>
  <si>
    <t>Maximum</t>
  </si>
  <si>
    <t>Skewness</t>
  </si>
  <si>
    <t>Kurtosis</t>
  </si>
  <si>
    <t>PERCENTILES</t>
  </si>
  <si>
    <t>Percentile</t>
  </si>
  <si>
    <t>P1</t>
  </si>
  <si>
    <t>P5</t>
  </si>
  <si>
    <t>P10</t>
  </si>
  <si>
    <t>P25</t>
  </si>
  <si>
    <t>P50</t>
  </si>
  <si>
    <t>P75</t>
  </si>
  <si>
    <t>P90</t>
  </si>
  <si>
    <t>P95</t>
  </si>
  <si>
    <t>P99</t>
  </si>
  <si>
    <t>INPUT ASSUMPTIONS</t>
  </si>
  <si>
    <t>Cell</t>
  </si>
  <si>
    <t>Smoke Model!B5</t>
  </si>
  <si>
    <t>Normal(μ=0, σ=1)</t>
  </si>
  <si>
    <t>Smoke Model!B6</t>
  </si>
  <si>
    <t>Smoke Model!B7</t>
  </si>
  <si>
    <t>Smoke Model!B4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</si>
</sst>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5" x14ac:knownFonts="1">
    <font>
      <sz val="9"/>
      <color theme="1"/>
      <name val="Aptos Serif"/>
      <family val="2"/>
    </font>
    <font>
      <b/>
      <sz val="9"/>
      <color theme="1"/>
      <name val="Aptos Serif"/>
      <family val="1"/>
    </font>
    <font>
      <b/>
      <sz val="16"/>
      <color theme="1"/>
      <name val="Aptos Serif"/>
      <family val="1"/>
    </font>
    <font>
      <sz val="12"/>
      <color theme="1"/>
      <name val="Aptos Serif"/>
      <family val="2"/>
    </font>
    <font>
      <b/>
      <sz val="14"/>
      <color theme="1"/>
      <name val="Aptos Serif"/>
      <family val="1"/>
    </font>
  </fonts>
  <fills count="5">
    <fill>
      <patternFill patternType="none"/>
    </fill>
    <fill>
      <patternFill patternType="gray125"/>
    </fill>
    <fill>
      <patternFill patternType="solid">
        <fgColor rgb="FFDBEA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8F8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E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1" fillId="4" borderId="0" xfId="0" applyFont="1" applyFill="1"/>
    <xf numFmtId="165" fontId="0" fillId="0" borderId="0" xfId="0" applyNumberFormat="1"/>
    <xf numFmtId="0" fontId="0" fillId="4" borderId="0" xfId="0" applyFill="1"/>
    <xf numFmtId="165" fontId="0" fillId="4" borderId="0" xfId="0" applyNumberFormat="1" applyFill="1"/>
    <xf numFmtId="2" fontId="0" fillId="0" borderId="0" xfId="0" applyNumberFormat="1"/>
    <xf numFmtId="2" fontId="0" fillId="4" borderId="0" xfId="0" applyNumberForma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CAC8F-95E7-4476-A2B1-1A797F1745D3}">
  <dimension ref="A1:E9"/>
  <sheetViews>
    <sheetView workbookViewId="0">
      <selection activeCell="B9" sqref="B9"/>
    </sheetView>
  </sheetViews>
  <sheetFormatPr defaultRowHeight="12" x14ac:dyDescent="0.2"/>
  <cols>
    <col min="1" max="1" width="11.28515625" bestFit="1" customWidth="1"/>
    <col min="2" max="2" width="12.5703125" bestFit="1" customWidth="1"/>
    <col min="3" max="3" width="25.28515625" bestFit="1" customWidth="1"/>
    <col min="5" max="5" width="21.42578125" bestFit="1" customWidth="1"/>
  </cols>
  <sheetData>
    <row r="1" spans="1:5" x14ac:dyDescent="0.2">
      <c r="A1" s="14" t="s">
        <v>0</v>
      </c>
      <c r="B1" s="15"/>
      <c r="C1" s="15"/>
    </row>
    <row r="3" spans="1:5" x14ac:dyDescent="0.2">
      <c r="A3" s="1" t="s">
        <v>1</v>
      </c>
      <c r="B3" s="1" t="s">
        <v>2</v>
      </c>
      <c r="C3" s="1" t="s">
        <v>3</v>
      </c>
      <c r="E3" s="1" t="s">
        <v>14</v>
      </c>
    </row>
    <row r="4" spans="1:5" x14ac:dyDescent="0.2">
      <c r="A4" t="s">
        <v>4</v>
      </c>
      <c r="B4" s="2">
        <v>1.323641573162351</v>
      </c>
      <c r="C4" t="s">
        <v>5</v>
      </c>
      <c r="E4" t="s">
        <v>15</v>
      </c>
    </row>
    <row r="5" spans="1:5" x14ac:dyDescent="0.2">
      <c r="A5" t="s">
        <v>6</v>
      </c>
      <c r="B5" s="2">
        <v>-0.52182169907044784</v>
      </c>
      <c r="C5" t="s">
        <v>7</v>
      </c>
      <c r="E5" t="s">
        <v>16</v>
      </c>
    </row>
    <row r="6" spans="1:5" x14ac:dyDescent="0.2">
      <c r="A6" t="s">
        <v>8</v>
      </c>
      <c r="B6" s="2">
        <v>0.86370576345174321</v>
      </c>
      <c r="C6" t="s">
        <v>9</v>
      </c>
      <c r="E6" t="s">
        <v>17</v>
      </c>
    </row>
    <row r="7" spans="1:5" x14ac:dyDescent="0.2">
      <c r="A7" t="s">
        <v>10</v>
      </c>
      <c r="B7" s="2">
        <v>0.93480775380854553</v>
      </c>
      <c r="C7" t="s">
        <v>11</v>
      </c>
      <c r="E7" t="s">
        <v>18</v>
      </c>
    </row>
    <row r="9" spans="1:5" x14ac:dyDescent="0.2">
      <c r="A9" t="s">
        <v>12</v>
      </c>
      <c r="B9" s="3">
        <f>B4*(B5-B6)-B7</f>
        <v>-2.7687495039610583</v>
      </c>
      <c r="C9" t="s">
        <v>13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0D65-A5C9-4E45-A6BF-A941480B614F}">
  <dimension ref="A1"/>
  <sheetViews>
    <sheetView workbookViewId="0">
      <selection activeCell="C8" sqref="C8"/>
    </sheetView>
  </sheetViews>
  <sheetFormatPr defaultRowHeight="12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75521-594A-49B4-92F2-8345A8E8A8B6}">
  <sheetPr>
    <tabColor rgb="FF3B82F6"/>
  </sheetPr>
  <dimension ref="A1:D33"/>
  <sheetViews>
    <sheetView tabSelected="1" workbookViewId="0">
      <selection activeCell="C18" sqref="C18"/>
    </sheetView>
  </sheetViews>
  <sheetFormatPr defaultRowHeight="12" x14ac:dyDescent="0.2"/>
  <cols>
    <col min="1" max="1" width="52.28515625" bestFit="1" customWidth="1"/>
    <col min="2" max="2" width="14.7109375" bestFit="1" customWidth="1"/>
    <col min="3" max="3" width="14.85546875" bestFit="1" customWidth="1"/>
  </cols>
  <sheetData>
    <row r="1" spans="1:4" ht="21" x14ac:dyDescent="0.35">
      <c r="A1" s="4" t="s">
        <v>19</v>
      </c>
    </row>
    <row r="2" spans="1:4" ht="15.75" x14ac:dyDescent="0.25">
      <c r="A2" s="5" t="s">
        <v>20</v>
      </c>
    </row>
    <row r="3" spans="1:4" x14ac:dyDescent="0.2">
      <c r="A3" t="s">
        <v>21</v>
      </c>
      <c r="B3" t="s">
        <v>22</v>
      </c>
    </row>
    <row r="5" spans="1:4" ht="18.75" x14ac:dyDescent="0.3">
      <c r="A5" s="6" t="s">
        <v>23</v>
      </c>
      <c r="B5" s="7"/>
      <c r="C5" s="7"/>
      <c r="D5" s="7"/>
    </row>
    <row r="6" spans="1:4" x14ac:dyDescent="0.2">
      <c r="A6" s="8" t="s">
        <v>24</v>
      </c>
      <c r="B6" s="8" t="s">
        <v>2</v>
      </c>
    </row>
    <row r="7" spans="1:4" x14ac:dyDescent="0.2">
      <c r="A7" t="s">
        <v>25</v>
      </c>
      <c r="B7" s="9">
        <v>-2.2033851733516175E-2</v>
      </c>
    </row>
    <row r="8" spans="1:4" x14ac:dyDescent="0.2">
      <c r="A8" s="10" t="s">
        <v>26</v>
      </c>
      <c r="B8" s="11">
        <v>-2.4149399944277547E-2</v>
      </c>
    </row>
    <row r="9" spans="1:4" x14ac:dyDescent="0.2">
      <c r="A9" t="s">
        <v>27</v>
      </c>
      <c r="B9" s="12">
        <v>1.7092478014596917</v>
      </c>
    </row>
    <row r="10" spans="1:4" x14ac:dyDescent="0.2">
      <c r="A10" s="10" t="s">
        <v>28</v>
      </c>
      <c r="B10" s="13">
        <v>2.9215280467947897</v>
      </c>
    </row>
    <row r="11" spans="1:4" x14ac:dyDescent="0.2">
      <c r="A11" t="s">
        <v>29</v>
      </c>
      <c r="B11" s="12">
        <v>-11.911377726560838</v>
      </c>
    </row>
    <row r="12" spans="1:4" x14ac:dyDescent="0.2">
      <c r="A12" s="10" t="s">
        <v>30</v>
      </c>
      <c r="B12" s="13">
        <v>9.463340867963133</v>
      </c>
    </row>
    <row r="13" spans="1:4" x14ac:dyDescent="0.2">
      <c r="A13" t="s">
        <v>31</v>
      </c>
      <c r="B13" s="9">
        <v>-5.8086312774651892E-2</v>
      </c>
    </row>
    <row r="14" spans="1:4" x14ac:dyDescent="0.2">
      <c r="A14" s="10" t="s">
        <v>32</v>
      </c>
      <c r="B14" s="13">
        <v>2.625153731115148</v>
      </c>
    </row>
    <row r="16" spans="1:4" ht="18.75" x14ac:dyDescent="0.3">
      <c r="A16" s="6" t="s">
        <v>33</v>
      </c>
      <c r="B16" s="7"/>
      <c r="C16" s="7"/>
      <c r="D16" s="7"/>
    </row>
    <row r="17" spans="1:4" x14ac:dyDescent="0.2">
      <c r="A17" s="8" t="s">
        <v>34</v>
      </c>
      <c r="B17" s="8" t="s">
        <v>2</v>
      </c>
    </row>
    <row r="18" spans="1:4" x14ac:dyDescent="0.2">
      <c r="A18" s="10" t="s">
        <v>35</v>
      </c>
      <c r="B18" s="13">
        <v>-4.5843176259750047</v>
      </c>
    </row>
    <row r="19" spans="1:4" x14ac:dyDescent="0.2">
      <c r="A19" t="s">
        <v>36</v>
      </c>
      <c r="B19" s="12">
        <v>-2.7139749032028924</v>
      </c>
    </row>
    <row r="20" spans="1:4" x14ac:dyDescent="0.2">
      <c r="A20" s="10" t="s">
        <v>37</v>
      </c>
      <c r="B20" s="13">
        <v>-1.9858778983302787</v>
      </c>
    </row>
    <row r="21" spans="1:4" x14ac:dyDescent="0.2">
      <c r="A21" t="s">
        <v>38</v>
      </c>
      <c r="B21" s="9">
        <v>-0.97036280865255808</v>
      </c>
    </row>
    <row r="22" spans="1:4" x14ac:dyDescent="0.2">
      <c r="A22" s="10" t="s">
        <v>39</v>
      </c>
      <c r="B22" s="11">
        <v>-2.4149399944277547E-2</v>
      </c>
    </row>
    <row r="23" spans="1:4" x14ac:dyDescent="0.2">
      <c r="A23" t="s">
        <v>40</v>
      </c>
      <c r="B23" s="9">
        <v>0.93096001823860075</v>
      </c>
    </row>
    <row r="24" spans="1:4" x14ac:dyDescent="0.2">
      <c r="A24" s="10" t="s">
        <v>41</v>
      </c>
      <c r="B24" s="13">
        <v>1.9367402559763398</v>
      </c>
    </row>
    <row r="25" spans="1:4" x14ac:dyDescent="0.2">
      <c r="A25" t="s">
        <v>42</v>
      </c>
      <c r="B25" s="12">
        <v>2.7063626934494298</v>
      </c>
    </row>
    <row r="26" spans="1:4" x14ac:dyDescent="0.2">
      <c r="A26" s="10" t="s">
        <v>43</v>
      </c>
      <c r="B26" s="13">
        <v>4.6032605866407055</v>
      </c>
    </row>
    <row r="28" spans="1:4" ht="18.75" x14ac:dyDescent="0.3">
      <c r="A28" s="6" t="s">
        <v>44</v>
      </c>
      <c r="B28" s="7"/>
      <c r="C28" s="7"/>
      <c r="D28" s="7"/>
    </row>
    <row r="29" spans="1:4" x14ac:dyDescent="0.2">
      <c r="A29" s="8" t="s">
        <v>1</v>
      </c>
      <c r="B29" s="8" t="s">
        <v>45</v>
      </c>
      <c r="C29" s="8" t="s">
        <v>3</v>
      </c>
    </row>
    <row r="30" spans="1:4" x14ac:dyDescent="0.2">
      <c r="A30" s="10" t="s">
        <v>6</v>
      </c>
      <c r="B30" s="10" t="s">
        <v>46</v>
      </c>
      <c r="C30" s="10" t="s">
        <v>47</v>
      </c>
    </row>
    <row r="31" spans="1:4" x14ac:dyDescent="0.2">
      <c r="A31" t="s">
        <v>8</v>
      </c>
      <c r="B31" t="s">
        <v>48</v>
      </c>
      <c r="C31" t="s">
        <v>47</v>
      </c>
    </row>
    <row r="32" spans="1:4" x14ac:dyDescent="0.2">
      <c r="A32" s="10" t="s">
        <v>10</v>
      </c>
      <c r="B32" s="10" t="s">
        <v>49</v>
      </c>
      <c r="C32" s="10" t="s">
        <v>47</v>
      </c>
    </row>
    <row r="33" spans="1:3" x14ac:dyDescent="0.2">
      <c r="A33" t="s">
        <v>4</v>
      </c>
      <c r="B33" t="s">
        <v>50</v>
      </c>
      <c r="C33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onteCarloConfig xmlns="urn:montecarlo-xl:config:v1">
  <Profile name="Default"><![CDATA[{
  "name": "Default",
  "iterationCount": 5000,
  "randomSeed": null,
  "inputs": [
    {
      "sheetName": "Smoke Model",
      "cellAddress": "B5",
      "label": "Price",
      "distributionName": "Normal",
      "parameters": {
        "mean": 0,
        "stdDev": 1
      }
    },
    {
      "sheetName": "Smoke Model",
      "cellAddress": "B6",
      "label": "Variable Cost",
      "distributionName": "Normal",
      "parameters": {
        "mean": 0,
        "stdDev": 1
      }
    },
    {
      "sheetName": "Smoke Model",
      "cellAddress": "B7",
      "label": "Fixed Costs",
      "distributionName": "Normal",
      "parameters": {
        "mean": 0,
        "stdDev": 1
      }
    },
    {
      "sheetName": "Smoke Model",
      "cellAddress": "B4",
      "label": "Units",
      "distributionName": "Normal",
      "parameters": {
        "mean": 0,
        "stdDev": 1
      }
    }
  ],
  "outputs": [
    {
      "sheetName": "Smoke Model",
      "cellAddress": "B9",
      "label": "Profit"
    }
  ],
  "correlationMatrix": null,
  "correlationMatrixSize": 0
}]]></Profile>
</MonteCarloConfig>
</file>

<file path=customXml/itemProps1.xml><?xml version="1.0" encoding="utf-8"?>
<ds:datastoreItem xmlns:ds="http://schemas.openxmlformats.org/officeDocument/2006/customXml" ds:itemID="{B3615A90-F0A0-499F-8C29-60E867ED124A}">
  <ds:schemaRefs>
    <ds:schemaRef ds:uri="urn:montecarlo-xl:config:v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Smoke Model</vt:lpstr>
      <vt:lpstr>Sheet2</vt:lpstr>
      <vt:lpstr>MC Results — 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Miller</dc:creator>
  <cp:lastModifiedBy>Ryan Miller</cp:lastModifiedBy>
  <dcterms:created xsi:type="dcterms:W3CDTF">2026-04-18T12:26:56Z</dcterms:created>
  <dcterms:modified xsi:type="dcterms:W3CDTF">2026-04-18T14:45:22Z</dcterms:modified>
</cp:coreProperties>
</file>